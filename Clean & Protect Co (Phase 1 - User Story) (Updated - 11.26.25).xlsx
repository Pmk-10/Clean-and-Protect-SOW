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1746" documentId="8_{762F447E-AE93-433E-83CE-6575CCC38EB0}" xr6:coauthVersionLast="47" xr6:coauthVersionMax="47" xr10:uidLastSave="{342C9B15-86DB-435D-A271-26ACBAAA09B6}"/>
  <bookViews>
    <workbookView xWindow="8760" yWindow="630" windowWidth="19420" windowHeight="11020" firstSheet="6" activeTab="6" xr2:uid="{00000000-000D-0000-FFFF-FFFF00000000}"/>
  </bookViews>
  <sheets>
    <sheet name="Consolidated" sheetId="1" state="hidden" r:id="rId1"/>
    <sheet name="MVP Phase 1 - Features (2)" sheetId="5" state="hidden" r:id="rId2"/>
    <sheet name="Exclusions" sheetId="6" state="hidden" r:id="rId3"/>
    <sheet name="MVP Phase 1 - Features" sheetId="2" r:id="rId4"/>
    <sheet name="User Stories - Phase 1" sheetId="3" state="hidden" r:id="rId5"/>
    <sheet name="User Stories - Phase 1 (Updated" sheetId="11" r:id="rId6"/>
    <sheet name="Menu &amp; Field List  - TECHNICIAN" sheetId="12" r:id="rId7"/>
    <sheet name="Menu &amp; Field List  - TEAM LEAD" sheetId="13" r:id="rId8"/>
    <sheet name="High Level Modules" sheetId="4" state="hidden" r:id="rId9"/>
    <sheet name="Resources" sheetId="8" state="hidden" r:id="rId10"/>
    <sheet name="Estimates Canabis App" sheetId="10" state="hidden" r:id="rId11"/>
    <sheet name="Time Sheet - Phase 1" sheetId="7" state="hidden" r:id="rId12"/>
    <sheet name="Menu &amp; Field List  - CLIENT" sheetId="14" r:id="rId13"/>
    <sheet name="Menu &amp; Field List  - OPS SUPERV" sheetId="15" r:id="rId14"/>
    <sheet name="Menu &amp; Field List  - OPS ADMIN" sheetId="16" r:id="rId15"/>
    <sheet name="Menu &amp; Field List  - SUPER ADMI" sheetId="17" r:id="rId16"/>
  </sheets>
  <definedNames>
    <definedName name="_xlnm._FilterDatabase" localSheetId="0" hidden="1">Consolidated!$A$1:$F$59</definedName>
    <definedName name="_xlnm._FilterDatabase" localSheetId="11" hidden="1">'Time Sheet - Phase 1'!$A$1:$B$1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2" l="1"/>
  <c r="L2" i="12"/>
  <c r="K2" i="12"/>
  <c r="C21" i="8"/>
  <c r="C20" i="8"/>
  <c r="C18" i="8"/>
  <c r="C17" i="8"/>
  <c r="C19" i="8"/>
  <c r="I17" i="8"/>
  <c r="H27" i="10"/>
  <c r="H26" i="10"/>
  <c r="H24" i="10"/>
  <c r="H22" i="10"/>
  <c r="G19" i="10"/>
  <c r="H19" i="10" s="1"/>
  <c r="H14" i="10"/>
  <c r="G12" i="10"/>
  <c r="H12" i="10" s="1"/>
  <c r="H11" i="10"/>
  <c r="G7" i="10"/>
  <c r="H7" i="10" s="1"/>
  <c r="H3" i="10"/>
  <c r="H2" i="10"/>
  <c r="H28" i="10" s="1"/>
  <c r="C22" i="8" l="1"/>
  <c r="G6" i="8"/>
  <c r="C8" i="8" l="1"/>
  <c r="C7" i="8"/>
  <c r="C6" i="8"/>
  <c r="C9" i="8"/>
  <c r="C5" i="8"/>
  <c r="I5" i="8"/>
  <c r="C10" i="8" l="1"/>
  <c r="I10" i="8" s="1"/>
  <c r="G67" i="5"/>
  <c r="H67" i="5" s="1"/>
  <c r="G60" i="5"/>
  <c r="H60" i="5" s="1"/>
  <c r="H53" i="5"/>
  <c r="H50" i="5"/>
  <c r="G46" i="5"/>
  <c r="H46" i="5" s="1"/>
  <c r="G44" i="5"/>
  <c r="H44" i="5" s="1"/>
  <c r="G33" i="5"/>
  <c r="H33" i="5" s="1"/>
  <c r="H35" i="5"/>
  <c r="G26" i="5"/>
  <c r="H26" i="5" s="1"/>
  <c r="G21" i="5"/>
  <c r="H21" i="5" s="1"/>
  <c r="G10" i="5"/>
  <c r="H10" i="5" s="1"/>
  <c r="G2" i="5"/>
  <c r="H2" i="5" s="1"/>
  <c r="H77" i="5" s="1"/>
</calcChain>
</file>

<file path=xl/sharedStrings.xml><?xml version="1.0" encoding="utf-8"?>
<sst xmlns="http://schemas.openxmlformats.org/spreadsheetml/2006/main" count="3773" uniqueCount="1929">
  <si>
    <t>Story ID</t>
  </si>
  <si>
    <t>As a</t>
  </si>
  <si>
    <t>I need to be able to</t>
  </si>
  <si>
    <t>So that</t>
  </si>
  <si>
    <t>Phase</t>
  </si>
  <si>
    <t>Queries/ Exceptions/ Assumptions</t>
  </si>
  <si>
    <t>NGV comments</t>
  </si>
  <si>
    <t>NGV 1</t>
  </si>
  <si>
    <t>User</t>
  </si>
  <si>
    <t>View "local deals" for clinics based on geo-location</t>
  </si>
  <si>
    <t>I can discover nearby deals without signing in</t>
  </si>
  <si>
    <t>User launches platform on their phone, type in zip code, clinic type, etc, immeditaely populates closest results within a set radius</t>
  </si>
  <si>
    <t>NGV 2</t>
  </si>
  <si>
    <t>Create an account and sign in</t>
  </si>
  <si>
    <t>I can access more personalized deals and select categories &amp; subcategories</t>
  </si>
  <si>
    <t>Assumption - "categories &amp; subcategories will be determined/ finalised after extracting treatments/ services using NER"; 
Query - "Need more input on 'personalized deals'"</t>
  </si>
  <si>
    <t>Users can browse  without signing up, but to checkout or schedule an appointment they must be logged in</t>
  </si>
  <si>
    <t>NGV 3</t>
  </si>
  <si>
    <t>See top-rated clinics and explore coupons and deals</t>
  </si>
  <si>
    <t>I can find the best clinics and offers and read online reviews aggregated under one channel (Yelp, Social &amp; Google)</t>
  </si>
  <si>
    <t>Exceptions - For MVP, as agreed only Google reviews will be considered as only Google maps are considered during data extraction process. Other directories will be prioritized in phase 2</t>
  </si>
  <si>
    <t>MVP, only google reviews. Future phases, will aggregated 3rd party review platforms</t>
  </si>
  <si>
    <t>NGV 4</t>
  </si>
  <si>
    <t>Click on a clinic and select a service and appointment</t>
  </si>
  <si>
    <t>The clinic can receive my request, schedule the services, and contact me directly</t>
  </si>
  <si>
    <t>Select clinic -&gt;choose services(s) -&gt; choose appointment date -&gt; appointment schedule with clinic -&gt; pay now or pay at visit? Preference is to pay now, so NGV can collect booking fee, payment processor should linked as part of phase 1 and linked with MVP</t>
  </si>
  <si>
    <t>NGV 5</t>
  </si>
  <si>
    <t>View clinic information in no more than 4-5 steps</t>
  </si>
  <si>
    <t>I can complete my booking or inquiry quickly</t>
  </si>
  <si>
    <t>Entire booking or checkout process needs to be done in less than 5 steps</t>
  </si>
  <si>
    <t>NGV 6</t>
  </si>
  <si>
    <t>Have a luxurious look and feel while finding deals securely</t>
  </si>
  <si>
    <t>I feel confident in using the app and selecting a clinic that I like</t>
  </si>
  <si>
    <t>NGV 7</t>
  </si>
  <si>
    <t>Earn loyalty points when signed in</t>
  </si>
  <si>
    <t>I am incentivized to create an account</t>
  </si>
  <si>
    <t>Since loyalty points has potential dependencies, this is moved to phase 2</t>
  </si>
  <si>
    <t>Need to define basic loyalty program first, not a priority moving to phase 3</t>
  </si>
  <si>
    <t>NGV 8</t>
  </si>
  <si>
    <t>Access a section for reviews and testimonials and before and after images in an easy to navigate platform</t>
  </si>
  <si>
    <t>I can see the credibility of different clinics with verified reviews aggregated from google reviews</t>
  </si>
  <si>
    <t>Matches with NGV 3. Need more clarity to confirm additional features if any.</t>
  </si>
  <si>
    <t>User mobile experience should be prioritized in Phase 1. Nedd users to be able to view at least in phase 1, aggregated google reviews. Phase 2 can be other platforms ie. Yelp</t>
  </si>
  <si>
    <t>NGV 9</t>
  </si>
  <si>
    <t>Pick from a menu of main health and wellness categories (no more than 5x5 dropdown structure)</t>
  </si>
  <si>
    <t>I can find relevant services quickly</t>
  </si>
  <si>
    <t>Assumption - These will the list of services provided by clinics across Miami for MVP</t>
  </si>
  <si>
    <t>I will create this first structure and send to you guys</t>
  </si>
  <si>
    <t>NGV 10</t>
  </si>
  <si>
    <t>Drill down into subcategories within the main categories</t>
  </si>
  <si>
    <t>I can refine my search</t>
  </si>
  <si>
    <t>Assumption - "categories &amp; subcategories will be determined/ finalised after extracting treatments/ services using NER"</t>
  </si>
  <si>
    <t>NGV 11</t>
  </si>
  <si>
    <t>List clinics based on location, reviews, deals, and services</t>
  </si>
  <si>
    <t>I can sort clinics according to my preferences</t>
  </si>
  <si>
    <t>Personalization will be focused on phase 2 as MVP holds only one location - Miami</t>
  </si>
  <si>
    <t>MVP Miami focus</t>
  </si>
  <si>
    <t>NGV 12</t>
  </si>
  <si>
    <t>Have a full history of selected services, clinics reviewed, and deals</t>
  </si>
  <si>
    <t>I can track my past activities and am incentivized to create an account</t>
  </si>
  <si>
    <t>Query - Past activities can be recorded for user accounts on the platform. Do you wish to track the activities even before the user starts using the platform?</t>
  </si>
  <si>
    <t>Lets talk more through this</t>
  </si>
  <si>
    <t>NGV 13</t>
  </si>
  <si>
    <t>Receive pop-up alerts for abandoned inquiries or deals</t>
  </si>
  <si>
    <t>I am reminded of unfinished bookings</t>
  </si>
  <si>
    <t>This is important and should be part of phase 1 as NGV is incentivized for user to schedule bookings</t>
  </si>
  <si>
    <t>NGV 14</t>
  </si>
  <si>
    <t>Access secure payment processing and complete point-of-sale transactions</t>
  </si>
  <si>
    <t>I can pay for services securely and use coupons and deals accessible only via the app</t>
  </si>
  <si>
    <t>TBC</t>
  </si>
  <si>
    <t xml:space="preserve">Query - How are payments planned to be handled? </t>
  </si>
  <si>
    <t>Would it be easier to have the clinics process the payment and pay us a fee, or us process payment and send a fee to the clinics? Preference is to have NGV control point of sale</t>
  </si>
  <si>
    <t>NGV 15</t>
  </si>
  <si>
    <t>View a detailed clinic profile, including services offered, pricing, and reviews</t>
  </si>
  <si>
    <t>I can make an informed decision about the clinic</t>
  </si>
  <si>
    <t>Query - Will clinics have the ability to change their pricing model?
Assumption - For clinics which are scraped &amp; doesn't have an account in NGV App, pricing models will be empty. Such clinics will not be shown to users.</t>
  </si>
  <si>
    <t>This whole section needs to be based off what the clinic defines. While we will have a lot of data available to us, ultimately a clinic needs to own and maintain their profile. They need to be admins of their profiles/pages - they are customers as well. Ideally, API through clinic CRM automatically updates services and pricing models</t>
  </si>
  <si>
    <t>NGV 16</t>
  </si>
  <si>
    <t>Search for clinics using specific keywords or health services</t>
  </si>
  <si>
    <t>I can find clinics relevant to my needs</t>
  </si>
  <si>
    <t>SEO driven?</t>
  </si>
  <si>
    <t>NGV 17</t>
  </si>
  <si>
    <t>Refine clinic search results based on filters like price, distance, and rating</t>
  </si>
  <si>
    <t>I can narrow down my search results</t>
  </si>
  <si>
    <t>Query - Price attribute will not be publicly available untill clinics start creating accounts in app</t>
  </si>
  <si>
    <t>Really advanced data schema we will implement - when we get to this story in sprint planning we will work through the specifics. Need to look into CRM integration via API.</t>
  </si>
  <si>
    <t>NGV 18</t>
  </si>
  <si>
    <t>Get personalized recommendations based on my preferences and location</t>
  </si>
  <si>
    <t>I can discover relevant health services easily</t>
  </si>
  <si>
    <t>Should look into some LLM optimization here</t>
  </si>
  <si>
    <t>NGV 19</t>
  </si>
  <si>
    <t>Schedule appointments with clinics directly through the mobile app</t>
  </si>
  <si>
    <t>I can book services easily without calling the clinic</t>
  </si>
  <si>
    <t>Mobile apps will be considered in 3rd phase after web app dev works are complete</t>
  </si>
  <si>
    <t>The whole platform is mobile first, desktop second</t>
  </si>
  <si>
    <t>NGV 20</t>
  </si>
  <si>
    <t>View available time slots and receive booking confirmations</t>
  </si>
  <si>
    <t>I can secure my appointment time effectively</t>
  </si>
  <si>
    <t>Integration with clinic CRMs. If they don’t have a CRM, they use our native scheduler or 3rd party?</t>
  </si>
  <si>
    <t>NGV 21</t>
  </si>
  <si>
    <t>View and compare special offers from clinics within my desired radius</t>
  </si>
  <si>
    <t>I can find the best deals in my area</t>
  </si>
  <si>
    <t>Since Miami is planned for MVP this feature will be most effective when multiple locations come into play.</t>
  </si>
  <si>
    <t>Agreed, but remember the entire value proposition of this app for the consumer is for them to find deals at clinics as quickly as possible. That’s the guiding theme</t>
  </si>
  <si>
    <t>NGV 22</t>
  </si>
  <si>
    <t>Leave reviews and ratings for clinics I have visited</t>
  </si>
  <si>
    <t xml:space="preserve">I can share my feedback with other users </t>
  </si>
  <si>
    <t>Query - Need more clarity on "cross pollinate across online platforms"</t>
  </si>
  <si>
    <t>Lets just keep it to a standard review system for now. Everytime someone leaves a review, they receive +3 loyalty points. If they leave a negative review, +1 loyalty point. If they don’t leave a review, 0 points</t>
  </si>
  <si>
    <t>NGV 23</t>
  </si>
  <si>
    <t>Pay for my service or product ahead of time</t>
  </si>
  <si>
    <t>I can checkout as quickly as possible</t>
  </si>
  <si>
    <t>Query - Need more clarity on cancellation, refund, etc</t>
  </si>
  <si>
    <t>Standard ecommerce process. Monetization strategy for NGV should be part of phase 1 with ability for user to schedule and book appointments and pay for service.</t>
  </si>
  <si>
    <t>NGV 24</t>
  </si>
  <si>
    <t>Have the ability to finance my purchase</t>
  </si>
  <si>
    <t>I can delay the cost while receving the service right away</t>
  </si>
  <si>
    <t>Query - Possibilities of financing needs to be discussed.</t>
  </si>
  <si>
    <t>Integration with some sort of financing/lending partner</t>
  </si>
  <si>
    <t>NGV 25</t>
  </si>
  <si>
    <t>Access a dedicated affiliate marketing section</t>
  </si>
  <si>
    <t>I can explore and participate in marketing opportunities</t>
  </si>
  <si>
    <t>Need more inputs on marketing oppurtunities</t>
  </si>
  <si>
    <t>Ability to share promotions</t>
  </si>
  <si>
    <t>NGV 26</t>
  </si>
  <si>
    <t>Clinic owner</t>
  </si>
  <si>
    <t>View a dedicated section on the landing page with rotating slides of success stories</t>
  </si>
  <si>
    <t>I can see the benefits of joining the platform, customer reviews and case studies</t>
  </si>
  <si>
    <t>This is the Clinic page from their perspective, how they want to showcase and display which services/products on their profile. We need a standard layout for their profiles</t>
  </si>
  <si>
    <t>NGV 27</t>
  </si>
  <si>
    <t>Trial the platform for free</t>
  </si>
  <si>
    <t>I can evaluate the platform without commitment</t>
  </si>
  <si>
    <t>Trials restrictions has to be confirmed</t>
  </si>
  <si>
    <t>1st 5 leads (appointments scheduled) trial, pay after that</t>
  </si>
  <si>
    <t>NGV 28</t>
  </si>
  <si>
    <t>Have a seamless sign-up process with basic information required</t>
  </si>
  <si>
    <t>I can join the platform easily and have company lead contact me to learn more about my clinic</t>
  </si>
  <si>
    <t>Easy for a clinic to sign up, choose their clinic, ensure information is correct (or create their profile), create their first offer and have it go live</t>
  </si>
  <si>
    <t>NGV 29</t>
  </si>
  <si>
    <t>View rotating images showcasing product manufacturers used in spas</t>
  </si>
  <si>
    <t>I can visualize potential partnerships and collaborations for trials</t>
  </si>
  <si>
    <t>Need more inputs on potential partnerships and collaborations for trials</t>
  </si>
  <si>
    <t>This is for the ability for clinics to choose or upload images of their products in use</t>
  </si>
  <si>
    <t>NGV 30</t>
  </si>
  <si>
    <t>Run ads on the platform to gain traction</t>
  </si>
  <si>
    <t>I can attract more clients to my clinic</t>
  </si>
  <si>
    <t>Query - Assume it is the ad of a clinic or vendor, but there is no description about reporting, accounts, types (PPV or PPC), monetization etc.</t>
  </si>
  <si>
    <t>This is meant to start a campaign in the platform that pushed the campiagn out onto FB, IG, etc</t>
  </si>
  <si>
    <t>NGV 31</t>
  </si>
  <si>
    <t>Access an affiliate marketing section</t>
  </si>
  <si>
    <t>I can find potential marketing opportunities</t>
  </si>
  <si>
    <t>Need more clarity on application level custom made affiliation program</t>
  </si>
  <si>
    <t>We really need to define this out, this is the monetization model of the platform in Phase 1</t>
  </si>
  <si>
    <t>NGV 32</t>
  </si>
  <si>
    <t>Get a live meeting with the company for upsell opportunities</t>
  </si>
  <si>
    <t>I can explore the full suite of services</t>
  </si>
  <si>
    <t>Is this about a live video chat with multiple participants or one-to-one meeting. Are we ready for a third-party services for this feature?</t>
  </si>
  <si>
    <t>User sees a clinic, can schedule a 1:1 call that turns into a tele-health appointment</t>
  </si>
  <si>
    <t>NGV 33</t>
  </si>
  <si>
    <t>View catchy images and dialogue surrounding the onboarding process</t>
  </si>
  <si>
    <t>I feel encouraged to join</t>
  </si>
  <si>
    <t>NGV 34</t>
  </si>
  <si>
    <t>See branded stories about increased revenue and foot traffic</t>
  </si>
  <si>
    <t>I am convinced about the benefits of using the platform</t>
  </si>
  <si>
    <t>This is Clinic advertising to attract more clinics as customer</t>
  </si>
  <si>
    <t>NGV 35</t>
  </si>
  <si>
    <t>Upload and manage special offers and discounts through an intake system</t>
  </si>
  <si>
    <t>I can showcase my promotions to potential clients</t>
  </si>
  <si>
    <t>NGV 36</t>
  </si>
  <si>
    <t>Access an analytics dashboard with insights on user engagement and ROI</t>
  </si>
  <si>
    <t>I can measure the performance of my marketing campaigns</t>
  </si>
  <si>
    <t>Types of "custom marketting campaigns" has to be finalized</t>
  </si>
  <si>
    <t>NGV 37</t>
  </si>
  <si>
    <t>Access detailed reports showcasing the performance of my specials</t>
  </si>
  <si>
    <t>I can understand my marketing ROI and track KPIs</t>
  </si>
  <si>
    <t>Clinic owners need to see the perfomance of their campaigns</t>
  </si>
  <si>
    <t>NGV 38</t>
  </si>
  <si>
    <t>Track appointment bookings and product sales from my clinic</t>
  </si>
  <si>
    <t>I can monitor clinic performance directly</t>
  </si>
  <si>
    <t xml:space="preserve">Clinic owners need to see the improved lead gen and bookings from the app </t>
  </si>
  <si>
    <t>NGV 39</t>
  </si>
  <si>
    <t>Integrate with existing clinic appointment scheduling and CRM platforms</t>
  </si>
  <si>
    <t>I can streamline my operations</t>
  </si>
  <si>
    <t>Need to integrate with CRMs the top ones such as Vagaro to make it seamless with existing clinic operations</t>
  </si>
  <si>
    <t>NGV 40</t>
  </si>
  <si>
    <t>Get personalized recommendations based on my location and services offered</t>
  </si>
  <si>
    <t>I can refine my marketing strategy effectively</t>
  </si>
  <si>
    <t>MVP focuses only on Miami, hence moved to phase 2</t>
  </si>
  <si>
    <t>NGV 41</t>
  </si>
  <si>
    <t>Access a vendor marketplace to discover relevant suppliers</t>
  </si>
  <si>
    <t>I can find new products and services for my clinic</t>
  </si>
  <si>
    <t>Vendor marketplace scope needs to be finalized</t>
  </si>
  <si>
    <t>Clinics have orders or needs to be filled, they make a posting on the marketplace. Supply chain vendors can then bid on the order from the clinics</t>
  </si>
  <si>
    <t>NGV 42</t>
  </si>
  <si>
    <t>Have access to a collaborative forum/messageboard (like reddit) where I can connect with other clinic owners</t>
  </si>
  <si>
    <t>I can keep up with new market trends and have a sounding board</t>
  </si>
  <si>
    <t>Users can talk to other users, clinics can talk to customers, clinics can talk to each other, vendors can talk to clinics and customers</t>
  </si>
  <si>
    <t>NGV 43</t>
  </si>
  <si>
    <t>Establish partnerships with supply chain vendors securely</t>
  </si>
  <si>
    <t>I can negotiate deals and expand my clinic's capabilities</t>
  </si>
  <si>
    <t>Partnership feature scoping to be discussed</t>
  </si>
  <si>
    <t>Last piece of the puzzle, connecting supply chain vendors directly to their clinic customers</t>
  </si>
  <si>
    <t>NGV 44</t>
  </si>
  <si>
    <t>Vendor</t>
  </si>
  <si>
    <t>Showcase products and services to health clinics through a marketplace</t>
  </si>
  <si>
    <t>I can reach more clients easily</t>
  </si>
  <si>
    <t>NGV 45</t>
  </si>
  <si>
    <t>Access insights on market trends and clinic preferences</t>
  </si>
  <si>
    <t>I can optimize my product offerings</t>
  </si>
  <si>
    <t>NGV 46</t>
  </si>
  <si>
    <t>Integrate my inventory management and order processing systems with the platform</t>
  </si>
  <si>
    <t>I can manage my clinic orders seamlessly</t>
  </si>
  <si>
    <t>NGV 47</t>
  </si>
  <si>
    <t>Access a secure communication channel to connect with clinic owners</t>
  </si>
  <si>
    <t>I can establish partnerships effectively</t>
  </si>
  <si>
    <t>NGV 48</t>
  </si>
  <si>
    <t>Have the ability to bid on clinic orders</t>
  </si>
  <si>
    <t>I can access a vendor marketplace to fulfill clinic offers (ie. Dermatology clinic needs 10,000 syringes)</t>
  </si>
  <si>
    <t>We would need a complete flow properly detailed from generating order list by clinics to bidding by vendors to approval by clinics to payments to delivery</t>
  </si>
  <si>
    <t>Vendors can bid on clinic orders to be fulfilled. Vendors can offer their own specials direct to clinics that can be fulfilled</t>
  </si>
  <si>
    <t>NGV 49</t>
  </si>
  <si>
    <t>Support my customers/clinics 24x7</t>
  </si>
  <si>
    <t>I can instantly chat or message clinic owners to provide customer service</t>
  </si>
  <si>
    <t>NGV 50</t>
  </si>
  <si>
    <t>Platform admin</t>
  </si>
  <si>
    <t>Implement secure user authentication mechanisms like multi-factor authentication and biometric login</t>
  </si>
  <si>
    <t>I can ensure platform security</t>
  </si>
  <si>
    <t>NGV 51</t>
  </si>
  <si>
    <t>Conduct regular security audits and vulnerability assessments</t>
  </si>
  <si>
    <t>I can maintain platform integrity</t>
  </si>
  <si>
    <t>NGV 52</t>
  </si>
  <si>
    <t>Monitor user traffic and data processing efficiently</t>
  </si>
  <si>
    <t>I can ensure optimal performance for all users</t>
  </si>
  <si>
    <t>NGV 53</t>
  </si>
  <si>
    <t>Implement load balancing and caching mechanisms</t>
  </si>
  <si>
    <t>I can maintain platform responsiveness during peak usage</t>
  </si>
  <si>
    <t>NGV 54</t>
  </si>
  <si>
    <t>Provide a REST API for clinics and vendors</t>
  </si>
  <si>
    <t>I can support third-party integrations with the platform</t>
  </si>
  <si>
    <t>Data monetization play, final puzzle piece</t>
  </si>
  <si>
    <t>NGV 55</t>
  </si>
  <si>
    <t>Provide a comprehensive analytics dashboard for clinics and vendors</t>
  </si>
  <si>
    <t>I can help users make data-driven decisions</t>
  </si>
  <si>
    <t>NGV 56</t>
  </si>
  <si>
    <t>Offer data visualization tools to identify trends and improve performance</t>
  </si>
  <si>
    <t>I can provide actionable insights</t>
  </si>
  <si>
    <t>NGV 57</t>
  </si>
  <si>
    <t>Enable seamless data exchange between the platform and clinic CRMs</t>
  </si>
  <si>
    <t>I can simplify data management for clinics</t>
  </si>
  <si>
    <t>Needs to be phase 1 priority for amazing customer experience</t>
  </si>
  <si>
    <t>NGV 58</t>
  </si>
  <si>
    <t>Conduct regular performance testing and optimization</t>
  </si>
  <si>
    <t>I can deliver a smooth user experience</t>
  </si>
  <si>
    <t>Feature</t>
  </si>
  <si>
    <t>Hybrid Dev</t>
  </si>
  <si>
    <t>Web App</t>
  </si>
  <si>
    <t>Backend Dev</t>
  </si>
  <si>
    <t>QA</t>
  </si>
  <si>
    <t>Total (in days)</t>
  </si>
  <si>
    <t>Authentication</t>
  </si>
  <si>
    <t>sign up using email and password</t>
  </si>
  <si>
    <t> </t>
  </si>
  <si>
    <t>All users</t>
  </si>
  <si>
    <t>sign in using email and password</t>
  </si>
  <si>
    <t>access forgot password page</t>
  </si>
  <si>
    <t>reset password</t>
  </si>
  <si>
    <t>change password</t>
  </si>
  <si>
    <t>logout</t>
  </si>
  <si>
    <t>optionally activate 2 factor authentication</t>
  </si>
  <si>
    <t>optionally activate bio-metric authentication</t>
  </si>
  <si>
    <t>Clinic List</t>
  </si>
  <si>
    <t>View a list of clinics</t>
  </si>
  <si>
    <t>Search for a clinic by name</t>
  </si>
  <si>
    <t>View a clinic details
 - name
 - location
 - address
 - contact details
 - clinic images
 - services available
 - opening and closing times
 - fee range ($, $$, $$$)
 - deals and coupons
 - reviews and ratings with images</t>
  </si>
  <si>
    <t>Sort clinics by their ratings</t>
  </si>
  <si>
    <t>Sort clinics by distance</t>
  </si>
  <si>
    <t>Filter clinics by location</t>
  </si>
  <si>
    <t>Filter clinics by distance range</t>
  </si>
  <si>
    <t>Filter clinics by category and sub-category</t>
  </si>
  <si>
    <t>Filter clinics by services</t>
  </si>
  <si>
    <t>Filter clinics by ratings</t>
  </si>
  <si>
    <t>Map view (standard implementation - no customizations)</t>
  </si>
  <si>
    <t>Deals and Coupons List</t>
  </si>
  <si>
    <t>View a list of deals and coupons</t>
  </si>
  <si>
    <t>Filter deals and coupons by distance range</t>
  </si>
  <si>
    <t>View a deal details</t>
  </si>
  <si>
    <t>Compare deals from clinics within selected radius</t>
  </si>
  <si>
    <t>Select a deal or use a coupon
 - this should take me to appointment booking page
 - the deal should automatically be applied</t>
  </si>
  <si>
    <t>Appointments</t>
  </si>
  <si>
    <t>View available time slots for a clinic</t>
  </si>
  <si>
    <t>Book a time slot by providing following details
 - patient name, age and other required details
 - service required</t>
  </si>
  <si>
    <t>Apply deals or coupons, if any</t>
  </si>
  <si>
    <t>Use loyalty points, if any</t>
  </si>
  <si>
    <t>lets talk thorugh this</t>
  </si>
  <si>
    <t>Make payment and confirm booking</t>
  </si>
  <si>
    <t>View a list of all appointments I have made</t>
  </si>
  <si>
    <t>View an appointment details
 - clinic name
 - clinic address and location
 - booking date-time
 - appointement date-time
 - payment status</t>
  </si>
  <si>
    <t>Action tracking</t>
  </si>
  <si>
    <t>list of past searches</t>
  </si>
  <si>
    <t>receive notification for incomplete bookings</t>
  </si>
  <si>
    <t>Alerts and Notifications</t>
  </si>
  <si>
    <t>Receive a booking confirmation notification</t>
  </si>
  <si>
    <t>Receive a payment receipt</t>
  </si>
  <si>
    <t>View a list of all notifications</t>
  </si>
  <si>
    <t>Perform actions based on notification type</t>
  </si>
  <si>
    <t>Receive reminder alerts about coming scheduled appointments</t>
  </si>
  <si>
    <t>Receive payment alerts if I have not paid already for an appointment</t>
  </si>
  <si>
    <t>Receive personalized recommendations</t>
  </si>
  <si>
    <t>Receive an appointment cancellation notification</t>
  </si>
  <si>
    <t>Profile and preferences</t>
  </si>
  <si>
    <t>View my profile
 - name
 - email
 - Phone
- Address (location from Map)</t>
  </si>
  <si>
    <t>Update my profile</t>
  </si>
  <si>
    <t>Payments</t>
  </si>
  <si>
    <t>Make a payment</t>
  </si>
  <si>
    <t>POS integration with clinic CRMs like Vagaro</t>
  </si>
  <si>
    <t>View my payment history</t>
  </si>
  <si>
    <t>yes integration with 3rd party lender</t>
  </si>
  <si>
    <t>View available balance</t>
  </si>
  <si>
    <t>View balance loyalty points</t>
  </si>
  <si>
    <t>Ratings and reviews</t>
  </si>
  <si>
    <t>Rate and review a clinic</t>
  </si>
  <si>
    <t>Rate and review a service separately with following
 - rating from 1 to 5
 - review text
 - images</t>
  </si>
  <si>
    <t>View all my ratings and reviews along with uploaded images</t>
  </si>
  <si>
    <t>Clinic Onboarding</t>
  </si>
  <si>
    <t>Clinic Owner</t>
  </si>
  <si>
    <t>Create an account with all details
 - name
 - location
 - address
 - contact details
 - clinic images
 - services available
 - opening and closing times
 - fee range ($, $$, $$$)
 - deals and coupons
 - reviews and ratings with images (not editable)</t>
  </si>
  <si>
    <t>Claim a clinic which is already available on the platform</t>
  </si>
  <si>
    <t>We will initially harvest all clinic data ourselves, when a clinic registers for the 1st time they should be able to "claim" their clinic based off our data and be the admin of it.</t>
  </si>
  <si>
    <t>Get a trial period of free access of the platform</t>
  </si>
  <si>
    <t>Become a premium user by making a payment</t>
  </si>
  <si>
    <t>We havent defined premium users yet. Just guest and sign up users</t>
  </si>
  <si>
    <t>View success stories (of other clinics) on the platform (rotating slides)</t>
  </si>
  <si>
    <t>View product manufacturers used in spas (rotating slides)</t>
  </si>
  <si>
    <t>Appointment Management</t>
  </si>
  <si>
    <t>Create appointment schedules (time slots)</t>
  </si>
  <si>
    <t>Yes work with existing CRMs where possible</t>
  </si>
  <si>
    <t>View appointment schedule</t>
  </si>
  <si>
    <t>View all appointment bookings</t>
  </si>
  <si>
    <t>As a clinic owner, I should be able to view a historical time period of performance of my clinic in the app. how many appointments did I book this month, which services were booked, my revenue, etc.</t>
  </si>
  <si>
    <t>Delete an appointment slot (before booking)</t>
  </si>
  <si>
    <t>View a booked appointment details
 - slot details
 - patient details
 - payment details</t>
  </si>
  <si>
    <r>
      <t>Cancel a booked appointment (in case of emergency)
 - a notification will be sent to the patient (user)</t>
    </r>
    <r>
      <rPr>
        <sz val="11"/>
        <color rgb="FFFF0000"/>
        <rFont val="Calibri"/>
        <family val="2"/>
      </rPr>
      <t xml:space="preserve">
 - payment will be returned to the user</t>
    </r>
  </si>
  <si>
    <t>Reschedule a booked appointment
 - a notification will be sent to the patient (user)</t>
  </si>
  <si>
    <t>Deals Management</t>
  </si>
  <si>
    <t>Create deals
 - title
 - offer details
 - image
 - service</t>
  </si>
  <si>
    <t>Update deals</t>
  </si>
  <si>
    <t>Delete deals</t>
  </si>
  <si>
    <t>List deals</t>
  </si>
  <si>
    <t>Deals reports
 - reports of deal usage based on date-time, deal, service, and user</t>
  </si>
  <si>
    <t>Misc</t>
  </si>
  <si>
    <t>User management and reports</t>
  </si>
  <si>
    <t>Clinic management and reports</t>
  </si>
  <si>
    <t>Content management and reports</t>
  </si>
  <si>
    <t>Total Efforts (In days)</t>
  </si>
  <si>
    <r>
      <rPr>
        <b/>
        <sz val="11"/>
        <color rgb="FFFF0000"/>
        <rFont val="Calibri"/>
        <family val="2"/>
      </rPr>
      <t xml:space="preserve">What is not included (As we need more clarification on the user stories):
</t>
    </r>
    <r>
      <rPr>
        <sz val="11"/>
        <color rgb="FFFF0000"/>
        <rFont val="Calibri"/>
        <family val="2"/>
      </rPr>
      <t xml:space="preserve"> - Advertisements
 - Affiliate marketing
 - Financing purchase
 - Live meeting (customer support for clinics and vendors for admins), vendors to clinics, clinics to users. all text chat for now + chat bot
 - Integration with existing CRMs
 - Collaborative Forum
 - Vendor related stories
</t>
    </r>
    <r>
      <rPr>
        <b/>
        <sz val="11"/>
        <color rgb="FFFF0000"/>
        <rFont val="Calibri"/>
        <family val="2"/>
      </rPr>
      <t xml:space="preserve">Please check the red cells in "User Stories" sheet for excluded user stories.
</t>
    </r>
    <r>
      <rPr>
        <sz val="11"/>
        <color rgb="FFFF0000"/>
        <rFont val="Calibri"/>
        <family val="2"/>
      </rPr>
      <t xml:space="preserve">
Security and caching related user stories under </t>
    </r>
    <r>
      <rPr>
        <b/>
        <sz val="11"/>
        <color rgb="FFFF0000"/>
        <rFont val="Calibri"/>
        <family val="2"/>
      </rPr>
      <t>Platform Admin</t>
    </r>
    <r>
      <rPr>
        <sz val="11"/>
        <color rgb="FFFF0000"/>
        <rFont val="Calibri"/>
        <family val="2"/>
      </rPr>
      <t xml:space="preserve"> are not added, as they are part of development.
Analytics related few stories are not added. As we get more clarification on vendors we would be able to invision what other data we are generating and how to analyse them.</t>
    </r>
  </si>
  <si>
    <t xml:space="preserve">Able to </t>
  </si>
  <si>
    <t>Run ads on the platform to gain traction
 - Create add campaign with title, description, image, start date, end date, frequency
 - Make payment
 - Ad tracking (views, clicks)
 - Show ads (with an algo)
 - Ad reports over all, campaign wise</t>
  </si>
  <si>
    <t>Get a live meeting with the company for upsell opportunities
 - Integrate a chat API with chat bot</t>
  </si>
  <si>
    <t>Product List
 - name, description, category, sub-category, images, price, offer
 - search, filter, sorting</t>
  </si>
  <si>
    <t>Product details</t>
  </si>
  <si>
    <t>Add to order list</t>
  </si>
  <si>
    <t>Send for bidding</t>
  </si>
  <si>
    <t>View bids, accept</t>
  </si>
  <si>
    <t>Chat Room/group management
 - create with name, avatar, description, rules
 - update details
 - delete a room/group
 - view my group list</t>
  </si>
  <si>
    <t>View group list</t>
  </si>
  <si>
    <t>View group members</t>
  </si>
  <si>
    <t>View group posts</t>
  </si>
  <si>
    <t>Join a group as a member</t>
  </si>
  <si>
    <t>Create a post with text and image</t>
  </si>
  <si>
    <t>Comment on posts</t>
  </si>
  <si>
    <t>React on posts</t>
  </si>
  <si>
    <t>Delete a post</t>
  </si>
  <si>
    <t>Delete a comment</t>
  </si>
  <si>
    <t>Remove a member</t>
  </si>
  <si>
    <t>leave a group</t>
  </si>
  <si>
    <t>Manage account and profile</t>
  </si>
  <si>
    <t>View</t>
  </si>
  <si>
    <t>Edit</t>
  </si>
  <si>
    <t>Product management
 - name, description, images, price</t>
  </si>
  <si>
    <t>Access a secure communication channel to connect with clinic owners
 - one to one live text chat (using a third party service e.g. MirrorFly, Twilio)</t>
  </si>
  <si>
    <t>View list of orders (in specific area)</t>
  </si>
  <si>
    <t>View order details</t>
  </si>
  <si>
    <t>Bid on order</t>
  </si>
  <si>
    <t>View a list of all my bids</t>
  </si>
  <si>
    <t>View winning bids</t>
  </si>
  <si>
    <t>Support my customers/clinics 24x7
 - considering a customer support is already implemented for super admin</t>
  </si>
  <si>
    <t>Vendor management and reports</t>
  </si>
  <si>
    <t>Bids management and reports</t>
  </si>
  <si>
    <t>Subscription management and reports</t>
  </si>
  <si>
    <t>Ads management and reports</t>
  </si>
  <si>
    <t>receive loyalty points on sign-up</t>
  </si>
  <si>
    <t>Mobile App</t>
  </si>
  <si>
    <t>Milestone</t>
  </si>
  <si>
    <t>Authentication &amp; Role Access</t>
  </si>
  <si>
    <t>All roles</t>
  </si>
  <si>
    <t>Design login &amp; landing screen flows for each role (mobile + web-lite)</t>
  </si>
  <si>
    <t>Implement login form validations, error states and session timeout UI</t>
  </si>
  <si>
    <t>Implement forgot password &amp; reset flow UI (email/OTP)</t>
  </si>
  <si>
    <t>Implement role-based landing/dashboard routing (UI rules)</t>
  </si>
  <si>
    <t>Task &amp; Schedule Management</t>
  </si>
  <si>
    <t>Technician / Team Lead</t>
  </si>
  <si>
    <t>Design task list UI (cards, filters: Today/Upcoming/Completed)</t>
  </si>
  <si>
    <t>Build task card component with status badges and quick actions</t>
  </si>
  <si>
    <t>Task detail screen: checklist UI, notes, scheduled time, attachments</t>
  </si>
  <si>
    <t>Implement start/stop task local state handling (UI only)</t>
  </si>
  <si>
    <t>Reschedule task UI: date/time picker, conflict warning messages</t>
  </si>
  <si>
    <t>Reassign technician UI (single &amp; bulk) with reason input</t>
  </si>
  <si>
    <t>Task list offline placeholder &amp; pending sync indicators (UI)</t>
  </si>
  <si>
    <t>Loading skeletons, empty states and error states for task flows</t>
  </si>
  <si>
    <t>Inspection &amp; Quality Scoring</t>
  </si>
  <si>
    <t>Team Lead</t>
  </si>
  <si>
    <t>Design inspection checklist UI (configurable fields placeholder)</t>
  </si>
  <si>
    <t>Rating control (1-5) UI with mandatory comment/photo enforcement if configured</t>
  </si>
  <si>
    <t>Attach photos &amp; remarks UI in inspection flow (capture + gallery)</t>
  </si>
  <si>
    <t>Inspection submit flow: local validation, confirmation UX</t>
  </si>
  <si>
    <t>Inspection history view on task detail (show previous scores &amp; notes)</t>
  </si>
  <si>
    <t>SLA &amp; Corrective Ticketing</t>
  </si>
  <si>
    <t>Team Lead / Ops Admin</t>
  </si>
  <si>
    <t>SLA ticket summary UI: status, due date, SLA progress bar</t>
  </si>
  <si>
    <t>Ticket detail view: proofs, comments, reopen/return buttons</t>
  </si>
  <si>
    <t>Create 'return for rework' UI with reason input and notifications trigger</t>
  </si>
  <si>
    <t>SLA notifications handling UI (50% and 100% thresholds)</t>
  </si>
  <si>
    <t>Ticket list filters and search (by site, status, date)</t>
  </si>
  <si>
    <t>Feedback &amp; Client Actions</t>
  </si>
  <si>
    <t>Client</t>
  </si>
  <si>
    <t>Feedback form UI: rating control, comment box, attach media option</t>
  </si>
  <si>
    <t>Media picker UI &amp; validation (max files, size limit) with previews</t>
  </si>
  <si>
    <t>Reopen ticket UI: select closed ticket, provide reason, submit</t>
  </si>
  <si>
    <t>Create sub-ticket UI from parent ticket: category selector, description</t>
  </si>
  <si>
    <t>Client ticket list and SLA progress view in client dashboard</t>
  </si>
  <si>
    <t>Site Verification (GPS/QR/Site Access Code)</t>
  </si>
  <si>
    <t>Technician / Ops Admin</t>
  </si>
  <si>
    <t>Design site verification settings UI in web-lite (admin toggle per site)</t>
  </si>
  <si>
    <t>QR code scanner UI and result handling (scan + verify locally)</t>
  </si>
  <si>
    <t>Site Access Code entry UI with copy/paste protection &amp; validation UX</t>
  </si>
  <si>
    <t>GPS permission prompt and geofence indicator on mobile task screen</t>
  </si>
  <si>
    <t>Verification failure flows and escalation prompts in UI</t>
  </si>
  <si>
    <t>Form Builder (Static &amp; Dynamic fields)</t>
  </si>
  <si>
    <t>Ops Admin</t>
  </si>
  <si>
    <t>Design form builder UI: template creation wizard &amp; field palette</t>
  </si>
  <si>
    <t>Add static fields (predefined) UX and preview mode</t>
  </si>
  <si>
    <t>Add dynamic field creation UI: dropdowns, text, numeric, date</t>
  </si>
  <si>
    <t>Work order template selection flow and field mapping preview</t>
  </si>
  <si>
    <t>Field ordering, validation rule UI, and save/publish template actions</t>
  </si>
  <si>
    <t>Work Orders &amp; Contracts (creation)</t>
  </si>
  <si>
    <t>Ops Admin / Super Admin</t>
  </si>
  <si>
    <t>WO creation screen: select template, fill dynamic fields, assign team</t>
  </si>
  <si>
    <t>Attach site access code and verification mode selection UI</t>
  </si>
  <si>
    <t>Schedule periodicity setup UI and calendar preview</t>
  </si>
  <si>
    <t>WO save confirmation, edit, and clone functionality UI</t>
  </si>
  <si>
    <t>Site Access Code Management</t>
  </si>
  <si>
    <t>Generate site access code UI and assignment modal for janitors</t>
  </si>
  <si>
    <t>Code revocation UI and audit log link</t>
  </si>
  <si>
    <t>Code usage list view and search/filter by janitor/site/date</t>
  </si>
  <si>
    <t>Proof Upload &amp; Evidence</t>
  </si>
  <si>
    <t>Technician / Team Lead / Client</t>
  </si>
  <si>
    <t>Camera capture UI: photo &amp; short video capture flows</t>
  </si>
  <si>
    <t>Gallery picker &amp; multi-select upload preview UI</t>
  </si>
  <si>
    <t>Local storage placeholder + queued uploads indicator (UI)</t>
  </si>
  <si>
    <t>Proof metadata display (timestamp, uploader, site code) inside task/ticket</t>
  </si>
  <si>
    <t>Image/video compression settings UI control (client side) and error feedback</t>
  </si>
  <si>
    <t>Offline Sync &amp; Media Handling</t>
  </si>
  <si>
    <t>Technician</t>
  </si>
  <si>
    <t>Pending-sync list UI and retry buttons for failed uploads</t>
  </si>
  <si>
    <t>Background sync status indicator and toast messages</t>
  </si>
  <si>
    <t>Conflict UI for local vs. remote edits (show options to keep local or overwrite)</t>
  </si>
  <si>
    <t>Offline form entry placeholders and autosave indicators</t>
  </si>
  <si>
    <t>Notifications &amp; Audit Trail</t>
  </si>
  <si>
    <t>Notification center UI: list of in-app notifications and filters</t>
  </si>
  <si>
    <t>Push notification opt-in prompts and settings UI</t>
  </si>
  <si>
    <t>Audit trail viewer (web-lite): chronological actions with media links</t>
  </si>
  <si>
    <t>Notification deep-link behavior in-app to open exact task/ticket</t>
  </si>
  <si>
    <t>Reassign &amp; Reschedule (single &amp; bulk)</t>
  </si>
  <si>
    <t>Bulk selection UI for multiple tasks and reassignment flow</t>
  </si>
  <si>
    <t>Single task reassignment modal with reason input</t>
  </si>
  <si>
    <t>Conflict detection notifications and resolution UI</t>
  </si>
  <si>
    <t>Global Oversight (Web-lite)</t>
  </si>
  <si>
    <t>Super Admin</t>
  </si>
  <si>
    <t>Minimal summary list UI of open escalations and SLA hotspots</t>
  </si>
  <si>
    <t>Override closure UI: reason input modal and confirmation flow</t>
  </si>
  <si>
    <t>Audit trail search UI and export/print placeholder</t>
  </si>
  <si>
    <t>Lets talk through these</t>
  </si>
  <si>
    <t>View all assigned daily/weekly tasks including task type, location, and schedule</t>
  </si>
  <si>
    <t xml:space="preserve"> I can plan my workload and complete tasks in the correct order</t>
  </si>
  <si>
    <t>Verify presence using GPS/QR/Site Access Code before starting a task</t>
  </si>
  <si>
    <t xml:space="preserve"> tasks only start when I am physically present at the site</t>
  </si>
  <si>
    <t>Open task details including checklist, notes, and instructions</t>
  </si>
  <si>
    <t xml:space="preserve"> I can perform the task correctly as required</t>
  </si>
  <si>
    <t>Capture and upload photos/videos with timestamps</t>
  </si>
  <si>
    <t xml:space="preserve"> team leads and clients can validate my work</t>
  </si>
  <si>
    <t>Work offline and sync my updates later</t>
  </si>
  <si>
    <t xml:space="preserve"> my work continues even in low-network areas</t>
  </si>
  <si>
    <t>View my past 30 days of tasks with proof</t>
  </si>
  <si>
    <t xml:space="preserve"> I can reference previous work when needed</t>
  </si>
  <si>
    <t>View all technician tasks with real-time status</t>
  </si>
  <si>
    <t xml:space="preserve"> I can monitor daily site operations</t>
  </si>
  <si>
    <t>Assign or reassign tasks (single/bulk)</t>
  </si>
  <si>
    <t xml:space="preserve"> I can balance manpower and adjust for delays</t>
  </si>
  <si>
    <t>Reschedule task timings with reasons</t>
  </si>
  <si>
    <t xml:space="preserve"> operational issues can be handled smoothly</t>
  </si>
  <si>
    <t>Perform inspections with dynamic checklist, rating, comments, and media</t>
  </si>
  <si>
    <t xml:space="preserve"> I can evaluate quality effectively</t>
  </si>
  <si>
    <t>Automatically trigger SLA tickets on low scores</t>
  </si>
  <si>
    <t xml:space="preserve"> corrective actions begin immediately</t>
  </si>
  <si>
    <t>Receive SLA countdown and breach alerts</t>
  </si>
  <si>
    <t xml:space="preserve"> I can prevent SLA violations</t>
  </si>
  <si>
    <t>View ongoing and completed tasks for my site</t>
  </si>
  <si>
    <t xml:space="preserve"> I have transparency on service delivery</t>
  </si>
  <si>
    <t>View proof submitted for completed tasks</t>
  </si>
  <si>
    <t xml:space="preserve"> I can confirm work quality</t>
  </si>
  <si>
    <t>Submit ratings, comments, and attachments</t>
  </si>
  <si>
    <t xml:space="preserve"> I can share satisfaction or concerns</t>
  </si>
  <si>
    <t>Reopen a closed ticket with a reason</t>
  </si>
  <si>
    <t xml:space="preserve"> unresolved issues can be addressed again</t>
  </si>
  <si>
    <t>Create sub-tickets under an existing ticket</t>
  </si>
  <si>
    <t xml:space="preserve"> related issues are tracked together</t>
  </si>
  <si>
    <t>View SLA countdown and progress</t>
  </si>
  <si>
    <t xml:space="preserve"> I understand resolution timelines</t>
  </si>
  <si>
    <t>Configure static &amp; dynamic form fields</t>
  </si>
  <si>
    <t xml:space="preserve"> work orders and forms match site needs</t>
  </si>
  <si>
    <t>Create work orders with verification rules</t>
  </si>
  <si>
    <t xml:space="preserve"> sites are provisioned correctly</t>
  </si>
  <si>
    <t>Review SLA tickets with submitted proof</t>
  </si>
  <si>
    <t xml:space="preserve"> I can approve or request rework</t>
  </si>
  <si>
    <t>Return tickets for rework</t>
  </si>
  <si>
    <t xml:space="preserve"> quality standards are maintained</t>
  </si>
  <si>
    <t>Generate, assign, and revoke site access codes</t>
  </si>
  <si>
    <t xml:space="preserve"> technicians verify presence securely</t>
  </si>
  <si>
    <t>View all escalated SLA tickets &amp; site performance</t>
  </si>
  <si>
    <t xml:space="preserve"> I can ensure company-wide service quality</t>
  </si>
  <si>
    <t>Override or finalize escalated tickets</t>
  </si>
  <si>
    <t xml:space="preserve"> critical issues are resolved promptly</t>
  </si>
  <si>
    <t>View audit trails for all actions</t>
  </si>
  <si>
    <t xml:space="preserve"> transparency and accountability are maintained</t>
  </si>
  <si>
    <t>Ops Admin/Super Admin</t>
  </si>
  <si>
    <t>Create new employee records (name, email, phone, role, assigned property)</t>
  </si>
  <si>
    <t>new staff members can be added and start using the system.</t>
  </si>
  <si>
    <t>view a list of employees with filters (role, status, property,area assigned and task assigned)</t>
  </si>
  <si>
    <t>I can manage the workforce efficiently.</t>
  </si>
  <si>
    <t>view individual employee profiles (assignments, contact, status)</t>
  </si>
  <si>
    <t>I can validate who is assigned where.</t>
  </si>
  <si>
    <t>update employee information (role, property assignment, contact details)</t>
  </si>
  <si>
    <t>employee records reflect current reality</t>
  </si>
  <si>
    <t>deactivate or delete an employee</t>
  </si>
  <si>
    <t>former staff do not appear in assignments and cannot log in</t>
  </si>
  <si>
    <t>create a property (name, address, client, site rules)</t>
  </si>
  <si>
    <t>a location can be included in work orders</t>
  </si>
  <si>
    <t>view all properties with search and filters</t>
  </si>
  <si>
    <t>I can find locations quickly.</t>
  </si>
  <si>
    <t>view full property details (areas, geofence, access code)</t>
  </si>
  <si>
    <t>I can understand site configuration</t>
  </si>
  <si>
    <t>edit property information</t>
  </si>
  <si>
    <t>changes in client details are reflected</t>
  </si>
  <si>
    <t>deactivate a property when a contract ends</t>
  </si>
  <si>
    <t>it is not included in active scheduling</t>
  </si>
  <si>
    <t>Ops Admin/Team Lead</t>
  </si>
  <si>
    <t>create areas at a property level if required by contract (or allow Team Lead to create areas)</t>
  </si>
  <si>
    <t>site layout can be defined.</t>
  </si>
  <si>
    <t>create areas (e.g., room1, bathroom, kitchen, meeting room) under a property</t>
  </si>
  <si>
    <t>the team can have zone-level checklists and assignments</t>
  </si>
  <si>
    <t>view areas for a property</t>
  </si>
  <si>
    <t>I can check the zones requiring cleaning</t>
  </si>
  <si>
    <t>edit area details (name, floor, zone)</t>
  </si>
  <si>
    <t>the structure is correct</t>
  </si>
  <si>
    <t>deactivate an area</t>
  </si>
  <si>
    <t>unused zones do not appear in WOs.</t>
  </si>
  <si>
    <t>create task definitions for an area (e.g., clean window, clean urinals, refill soap)</t>
  </si>
  <si>
    <t>technicians have a clear checklist</t>
  </si>
  <si>
    <t>view all tasks linked to an area</t>
  </si>
  <si>
    <t>I can confirm the checklist is complete</t>
  </si>
  <si>
    <t>edit area-level tasks (rename, instructions, frequency)</t>
  </si>
  <si>
    <t>task detail stays accurate</t>
  </si>
  <si>
    <t>deactivate area tasks</t>
  </si>
  <si>
    <t>deprecated tasks do not show up on checklists</t>
  </si>
  <si>
    <t>assign technicians to area tasks (single &amp; bulk) and reschedule them</t>
  </si>
  <si>
    <t>the team executes tasks efficiently and responsively</t>
  </si>
  <si>
    <t>User Role</t>
  </si>
  <si>
    <t>Menu Item</t>
  </si>
  <si>
    <t>User Action</t>
  </si>
  <si>
    <t>Action Result</t>
  </si>
  <si>
    <t>Dashboard</t>
  </si>
  <si>
    <t>View today’s tasks</t>
  </si>
  <si>
    <t>I can see all tasks scheduled for today under my active contract.</t>
  </si>
  <si>
    <t>Tap locked task</t>
  </si>
  <si>
    <t>I am redirected to the Check-In screen if access verification is required.</t>
  </si>
  <si>
    <t>Start a task</t>
  </si>
  <si>
    <t>I can begin the task only when in the allowed scheduled time window.</t>
  </si>
  <si>
    <t>Open task detail</t>
  </si>
  <si>
    <t>I can view checklist, photos, notes, supplies, and signature requirements.</t>
  </si>
  <si>
    <t>Complete checklist items</t>
  </si>
  <si>
    <t>I can fill responses based on contract template requirements.</t>
  </si>
  <si>
    <t>Upload proof photos</t>
  </si>
  <si>
    <t>I can provide mandatory or optional proof images for the task.</t>
  </si>
  <si>
    <t>Add task notes</t>
  </si>
  <si>
    <t>I can document any observations related to the task.</t>
  </si>
  <si>
    <t>Log supplies used</t>
  </si>
  <si>
    <t>I can record materials consumed for the task.</t>
  </si>
  <si>
    <t>Save task as draft</t>
  </si>
  <si>
    <t>I can save progress and continue later.</t>
  </si>
  <si>
    <t>Complete task</t>
  </si>
  <si>
    <t>I can submit the task once all required fields are completed.</t>
  </si>
  <si>
    <t>Scheduled Tasks</t>
  </si>
  <si>
    <t>View upcoming tasks</t>
  </si>
  <si>
    <t>I can view tasks scheduled for future dates.</t>
  </si>
  <si>
    <t>Tap locked scheduled task</t>
  </si>
  <si>
    <t>I am redirected to Check-In if early access is restricted.</t>
  </si>
  <si>
    <t>Open scheduled task detail</t>
  </si>
  <si>
    <t>I can see what’s planned for future work.</t>
  </si>
  <si>
    <t>My Tickets</t>
  </si>
  <si>
    <t>View assigned tickets</t>
  </si>
  <si>
    <t>I can see all SLA tickets assigned to me.</t>
  </si>
  <si>
    <t>Add ticket comment</t>
  </si>
  <si>
    <t>I can update supervisors with progress or notes.</t>
  </si>
  <si>
    <t>Upload ticket photo</t>
  </si>
  <si>
    <t>I can attach supporting images for ticket handling.</t>
  </si>
  <si>
    <t>Resolve ticket</t>
  </si>
  <si>
    <t>I can complete the ticket if assigned by TL or Supervisor.</t>
  </si>
  <si>
    <t>Supply Request</t>
  </si>
  <si>
    <t>Submit supply request</t>
  </si>
  <si>
    <t>I can request inventory items needed for my work.</t>
  </si>
  <si>
    <t>Select property/area</t>
  </si>
  <si>
    <t>I can specify which location needs the supplies.</t>
  </si>
  <si>
    <t>Choose SKU and quantity</t>
  </si>
  <si>
    <t>I can request allowed supply items under the contract.</t>
  </si>
  <si>
    <t>Notifications</t>
  </si>
  <si>
    <t>View notifications</t>
  </si>
  <si>
    <t>I can see alerts for tasks, tickets, and updates.</t>
  </si>
  <si>
    <t>Tap notification</t>
  </si>
  <si>
    <t>I am redirected to the related task or ticket detail.</t>
  </si>
  <si>
    <t>Offline Sync</t>
  </si>
  <si>
    <t>View offline queue</t>
  </si>
  <si>
    <t>I can see pending sync items when offline.</t>
  </si>
  <si>
    <t>Retry sync</t>
  </si>
  <si>
    <t>I can manually push unsynced data once network returns.</t>
  </si>
  <si>
    <t>Profile</t>
  </si>
  <si>
    <t>Edit profile information</t>
  </si>
  <si>
    <t>I can update my name and email.</t>
  </si>
  <si>
    <t>View assigned contracts</t>
  </si>
  <si>
    <t>I can see all contracts I belong to.</t>
  </si>
  <si>
    <t>Set default contract</t>
  </si>
  <si>
    <t>I can make the app load my preferred contract by default.</t>
  </si>
  <si>
    <t>Change password</t>
  </si>
  <si>
    <t>I can update my login credentials.</t>
  </si>
  <si>
    <t>Help &amp; Support</t>
  </si>
  <si>
    <t>View help topics</t>
  </si>
  <si>
    <t>I can read quick help and guidance.</t>
  </si>
  <si>
    <t>Submit support ticket</t>
  </si>
  <si>
    <t>I can report issues related to the app or site.</t>
  </si>
  <si>
    <t>View my support ticket history</t>
  </si>
  <si>
    <t>I can track support tickets and responses.</t>
  </si>
  <si>
    <t>Check-In (Triggered)</t>
  </si>
  <si>
    <t>Enter access code</t>
  </si>
  <si>
    <t>I can unlock site tasks for that scheduled event.</t>
  </si>
  <si>
    <t>Verify code</t>
  </si>
  <si>
    <t>I can start work after successful verification.</t>
  </si>
  <si>
    <t>Sign in</t>
  </si>
  <si>
    <t>I can securely access my dashboard.</t>
  </si>
  <si>
    <t>Reset password</t>
  </si>
  <si>
    <t>I can recover access if credentials are forgotten.</t>
  </si>
  <si>
    <t>Verify presence using GPS (Optional)</t>
  </si>
  <si>
    <t xml:space="preserve"> the system can confirm I am physically at the correct site before I start the task.</t>
  </si>
  <si>
    <t>Verify presence using QR scan (Optional)</t>
  </si>
  <si>
    <t xml:space="preserve"> I can easily check in at the site using a scannable code placed there.</t>
  </si>
  <si>
    <t>Verify presence using Site Access Code</t>
  </si>
  <si>
    <t xml:space="preserve"> I can authenticate my presence even when GPS/QR is not available.</t>
  </si>
  <si>
    <t>Configure site verification mode</t>
  </si>
  <si>
    <t xml:space="preserve"> each property can enforce the appropriate verification method (GPS/QR/Code) based on operational needs.</t>
  </si>
  <si>
    <t>Capture photos as proof</t>
  </si>
  <si>
    <t xml:space="preserve"> I can show visual evidence of the work completed at the site.</t>
  </si>
  <si>
    <t>Upload media files</t>
  </si>
  <si>
    <t xml:space="preserve"> proof is attached to the task and visible to Team Leads and Clients.</t>
  </si>
  <si>
    <t>Retry failed uploads (offline sync)</t>
  </si>
  <si>
    <t xml:space="preserve"> I can submit proof even after returning to network coverage.</t>
  </si>
  <si>
    <t>Review proof uploaded by technician</t>
  </si>
  <si>
    <t xml:space="preserve"> I can assess the quality and completeness of the task performed.</t>
  </si>
  <si>
    <t>View proof for completed tasks</t>
  </si>
  <si>
    <t xml:space="preserve"> I can verify that the cleaning work meets expectations.</t>
  </si>
  <si>
    <t>Open inspection checklist</t>
  </si>
  <si>
    <t xml:space="preserve"> I can review the required inspection steps for the area.</t>
  </si>
  <si>
    <t>Rate service (1–5)</t>
  </si>
  <si>
    <t xml:space="preserve"> I can provide a quantitative score for task quality.</t>
  </si>
  <si>
    <t>Add inspection remarks</t>
  </si>
  <si>
    <t xml:space="preserve"> I can give specific feedback or highlight issues.</t>
  </si>
  <si>
    <t>Attach inspection photos/videos</t>
  </si>
  <si>
    <t xml:space="preserve"> I can document evidence of quality or issues found.</t>
  </si>
  <si>
    <t>Submit inspection results</t>
  </si>
  <si>
    <t xml:space="preserve"> the system records inspection status and triggers corrective actions if needed</t>
  </si>
  <si>
    <t>View SLA tickets</t>
  </si>
  <si>
    <t xml:space="preserve"> I can monitor issues that require immediate corrective action.</t>
  </si>
  <si>
    <t>Receive SLA warning notifications</t>
  </si>
  <si>
    <t xml:space="preserve"> I am alerted when an SLA is nearing a breach and can act promptly.</t>
  </si>
  <si>
    <t>Return ticket for rework</t>
  </si>
  <si>
    <t xml:space="preserve"> I can ensure incomplete or poor-quality work is corrected.</t>
  </si>
  <si>
    <t>Approve SLA ticket closure</t>
  </si>
  <si>
    <t xml:space="preserve"> I can confirm issues have been properly resolved before closing.</t>
  </si>
  <si>
    <t>Send ticket back for rework</t>
  </si>
  <si>
    <t xml:space="preserve"> I can enforce quality standards and ensure issues are addressed thoroughly.</t>
  </si>
  <si>
    <t>Override escalated SLA tickets</t>
  </si>
  <si>
    <t xml:space="preserve"> I can resolve critical issues that require top-level intervention and finalize decisions.</t>
  </si>
  <si>
    <t>Feedback, Reopen &amp; Sub-ticket (Client)</t>
  </si>
  <si>
    <t>Submit service rating</t>
  </si>
  <si>
    <t xml:space="preserve"> I can share my satisfaction level with completed work.</t>
  </si>
  <si>
    <t>Write feedback comments</t>
  </si>
  <si>
    <t xml:space="preserve"> I can provide detailed input on the quality of service.</t>
  </si>
  <si>
    <t>Upload feedback media</t>
  </si>
  <si>
    <t xml:space="preserve"> I can visually demonstrate issues or appreciation.</t>
  </si>
  <si>
    <t>Reopen a closed ticket</t>
  </si>
  <si>
    <t xml:space="preserve"> I can get further assistance if the original issue wasn't resolved fully.</t>
  </si>
  <si>
    <t>Create a sub-ticket</t>
  </si>
  <si>
    <t xml:space="preserve"> related or follow-up issues can be tracked under the same case.</t>
  </si>
  <si>
    <t>View SLA progress on tickets</t>
  </si>
  <si>
    <t xml:space="preserve"> I know how long it will take to resolve the issue.</t>
  </si>
  <si>
    <t xml:space="preserve"> </t>
  </si>
  <si>
    <t>Add static fields to form</t>
  </si>
  <si>
    <t xml:space="preserve"> mandatory fields from the Site Visit standard can be included in work orders.</t>
  </si>
  <si>
    <t>Add dynamic fields to form</t>
  </si>
  <si>
    <t xml:space="preserve"> I can customize forms based on property-specific requirements.</t>
  </si>
  <si>
    <t>Reorder fields</t>
  </si>
  <si>
    <t xml:space="preserve"> I can organize the form layout for clarity and operational flow.</t>
  </si>
  <si>
    <t>Save form template</t>
  </si>
  <si>
    <t xml:space="preserve"> I can reuse standardized forms for multiple properties or contracts.</t>
  </si>
  <si>
    <t>Publish form template</t>
  </si>
  <si>
    <t xml:space="preserve"> the form becomes available for generating work orders.</t>
  </si>
  <si>
    <t>Work Orders &amp; Contracts Creation</t>
  </si>
  <si>
    <t>Create work order using existing contract template</t>
  </si>
  <si>
    <t xml:space="preserve"> I can quickly generate a structured plan for cleaning activities at a property.</t>
  </si>
  <si>
    <t>Define verification mode (override)</t>
  </si>
  <si>
    <t xml:space="preserve"> I can enforce the required site-entry validation method for each work order.</t>
  </si>
  <si>
    <t>Assign team lead &amp; technicians</t>
  </si>
  <si>
    <t xml:space="preserve"> the correct staff are responsible for executing the tasks defined in the work order.</t>
  </si>
  <si>
    <t>Set periodic schedules</t>
  </si>
  <si>
    <t xml:space="preserve"> tasks repeat automatically based on contract terms and operational frequency.</t>
  </si>
  <si>
    <t>Generate site access code</t>
  </si>
  <si>
    <t xml:space="preserve"> technicians can authenticate their presence before starting tasks.</t>
  </si>
  <si>
    <t>Revoke existing access code</t>
  </si>
  <si>
    <t xml:space="preserve"> I can disable outdated or compromised access codes.</t>
  </si>
  <si>
    <t>Assign code to janitor</t>
  </si>
  <si>
    <t xml:space="preserve"> only authorized staff can perform tasks at that property.</t>
  </si>
  <si>
    <t>View usage history</t>
  </si>
  <si>
    <t xml:space="preserve"> I can track who accessed the site and when verification happened.</t>
  </si>
  <si>
    <t>Use app in offline mode</t>
  </si>
  <si>
    <t xml:space="preserve"> I can continue working even without network coverage.</t>
  </si>
  <si>
    <t>Save pending uploads</t>
  </si>
  <si>
    <t xml:space="preserve"> my task data and proof can be stored until the network is restored.</t>
  </si>
  <si>
    <t>Retry uploads when connected</t>
  </si>
  <si>
    <t xml:space="preserve"> proof and updates sync automatically once internet returns.</t>
  </si>
  <si>
    <t>Handle upload conflicts</t>
  </si>
  <si>
    <t xml:space="preserve"> my data stays accurate even if multiple edits happen before syncing.</t>
  </si>
  <si>
    <t>Notifications &amp; Alerts</t>
  </si>
  <si>
    <t>Receive notifications for tasks</t>
  </si>
  <si>
    <t xml:space="preserve"> I stay informed about newly assigned or updated tasks.</t>
  </si>
  <si>
    <t>Receive SLA threshold alerts</t>
  </si>
  <si>
    <t xml:space="preserve"> I know when an SLA is close to breaching and can take timely action.</t>
  </si>
  <si>
    <t>Receive assignment updates</t>
  </si>
  <si>
    <t xml:space="preserve"> I am aware of changes in my task responsibilities.</t>
  </si>
  <si>
    <t>Open notifications via deep link</t>
  </si>
  <si>
    <t xml:space="preserve"> I can go directly to the relevant screen for faster action.</t>
  </si>
  <si>
    <t>Audit Trail &amp; Activity Logs</t>
  </si>
  <si>
    <t>View audit logs</t>
  </si>
  <si>
    <t xml:space="preserve"> I can see who performed key actions within the system for accountability.</t>
  </si>
  <si>
    <t>Search audit logs</t>
  </si>
  <si>
    <t xml:space="preserve"> I can find specific activities or events when required.</t>
  </si>
  <si>
    <t>Export audit logs</t>
  </si>
  <si>
    <t xml:space="preserve"> I can store or analyze logs outside the system for compliance or reporting.</t>
  </si>
  <si>
    <t>Employee Management</t>
  </si>
  <si>
    <t>Create employees</t>
  </si>
  <si>
    <t xml:space="preserve"> new staff can be onboarded and assigned roles.</t>
  </si>
  <si>
    <t>View employees</t>
  </si>
  <si>
    <t xml:space="preserve"> I can review all users and their statuses.</t>
  </si>
  <si>
    <t>Edit employees</t>
  </si>
  <si>
    <t xml:space="preserve"> employee details can stay updated and accurate.</t>
  </si>
  <si>
    <t>Deactivate employees</t>
  </si>
  <si>
    <t xml:space="preserve"> inactive staff no longer have system access.</t>
  </si>
  <si>
    <t>Property Management</t>
  </si>
  <si>
    <t>Create properties</t>
  </si>
  <si>
    <t xml:space="preserve"> cleaning operations can be set up for new client locations.</t>
  </si>
  <si>
    <t>View properties</t>
  </si>
  <si>
    <t xml:space="preserve"> I can monitor all operational client sites.</t>
  </si>
  <si>
    <t>Edit properties</t>
  </si>
  <si>
    <t xml:space="preserve"> property details remain up to date.</t>
  </si>
  <si>
    <t>Deactivate properties</t>
  </si>
  <si>
    <t xml:space="preserve"> inactive sites do not appear in operational workflows.</t>
  </si>
  <si>
    <t>Area Management</t>
  </si>
  <si>
    <t>Ops Admin / Team Lead</t>
  </si>
  <si>
    <t>Create areas</t>
  </si>
  <si>
    <t xml:space="preserve"> properties can be organized into cleanable zones.</t>
  </si>
  <si>
    <t>View areas</t>
  </si>
  <si>
    <t xml:space="preserve"> I can see the structure of each property.</t>
  </si>
  <si>
    <t>Edit areas</t>
  </si>
  <si>
    <t xml:space="preserve"> changes in layout are reflected correctly.</t>
  </si>
  <si>
    <t>Deactivate areas</t>
  </si>
  <si>
    <t xml:space="preserve"> obsolete areas are removed from operation.</t>
  </si>
  <si>
    <t>Task Management</t>
  </si>
  <si>
    <t>Create tasks for areas</t>
  </si>
  <si>
    <t xml:space="preserve"> technicians know the exact cleaning steps required.</t>
  </si>
  <si>
    <t>View tasks</t>
  </si>
  <si>
    <t xml:space="preserve"> I can confirm the checklist for each zone.</t>
  </si>
  <si>
    <t>Edit tasks</t>
  </si>
  <si>
    <t xml:space="preserve"> task requirements stay accurate as needs change.</t>
  </si>
  <si>
    <t>Deactivate tasks</t>
  </si>
  <si>
    <t xml:space="preserve"> outdated or irrelevant tasks are removed.</t>
  </si>
  <si>
    <t>Contract Management</t>
  </si>
  <si>
    <t>Create a new contract record (single form)</t>
  </si>
  <si>
    <t xml:space="preserve"> a formal agreement can be set up between the company and the client.</t>
  </si>
  <si>
    <t>View contract details and history</t>
  </si>
  <si>
    <t xml:space="preserve"> I can track contract terms and past versions.</t>
  </si>
  <si>
    <t>Edit/update contract master data (dates, client, notes)</t>
  </si>
  <si>
    <t xml:space="preserve"> contract information remains current and accurate.</t>
  </si>
  <si>
    <t>Deactivate or archive a contract</t>
  </si>
  <si>
    <t xml:space="preserve"> expired or completed contracts do not affect active operations.</t>
  </si>
  <si>
    <t>Upload contract document (PDF) and attach to record</t>
  </si>
  <si>
    <t xml:space="preserve"> legal documents are stored centrally within the system.</t>
  </si>
  <si>
    <t>Bulk import contracts via CSV/XLSX</t>
  </si>
  <si>
    <t xml:space="preserve"> multiple contracts can be onboarded efficiently.</t>
  </si>
  <si>
    <t>Preview import file and validate rows</t>
  </si>
  <si>
    <t xml:space="preserve"> I can correct errors before import.</t>
  </si>
  <si>
    <t>Import report with success / failed rows</t>
  </si>
  <si>
    <t xml:space="preserve"> I know which contracts were successfully processed.</t>
  </si>
  <si>
    <t>Download contract import template</t>
  </si>
  <si>
    <t xml:space="preserve"> I follow the correct format during bulk uploads.</t>
  </si>
  <si>
    <t>Map import columns to contract fields</t>
  </si>
  <si>
    <t xml:space="preserve"> I can import files even when headings differ.</t>
  </si>
  <si>
    <t>Link contract to one or more Property IDs</t>
  </si>
  <si>
    <t xml:space="preserve"> contract scope covers the correct sites.</t>
  </si>
  <si>
    <t>Set default verification mode for a contract</t>
  </si>
  <si>
    <t xml:space="preserve"> Work Orders inherit the correct verification rules.</t>
  </si>
  <si>
    <t>Generate and assign Site Access Codes</t>
  </si>
  <si>
    <t xml:space="preserve"> technicians can access sites securely per contract.</t>
  </si>
  <si>
    <t>Set SLA terms or reference an SLA template</t>
  </si>
  <si>
    <t xml:space="preserve"> response timelines are defined per contract.</t>
  </si>
  <si>
    <t>Assign primary Ops contact / AssignedTeam</t>
  </si>
  <si>
    <t xml:space="preserve"> contract responsibility is clearly designated.</t>
  </si>
  <si>
    <t>Search and filter contracts</t>
  </si>
  <si>
    <t xml:space="preserve"> I can quickly find contract records.</t>
  </si>
  <si>
    <t>Approve or override contract changes</t>
  </si>
  <si>
    <t xml:space="preserve"> sensitive updates can be controlled.</t>
  </si>
  <si>
    <t>View contract version history and audit trail</t>
  </si>
  <si>
    <t xml:space="preserve"> I can trace what changed and when.</t>
  </si>
  <si>
    <t>Export contract list (CSV/Excel)</t>
  </si>
  <si>
    <t xml:space="preserve"> I can analyze or store contract data offline.</t>
  </si>
  <si>
    <t>Validate PropertyIDs during import</t>
  </si>
  <si>
    <t xml:space="preserve"> incorrect property mappings are prevented.</t>
  </si>
  <si>
    <t>SUPPLIES REQUEST &amp; INVENTORY INTEGRATION</t>
  </si>
  <si>
    <t>Raise a supplies request from Mobile App</t>
  </si>
  <si>
    <t>Request submitted to Supervisor/Admin for approval</t>
  </si>
  <si>
    <t>Raise supply request for the team</t>
  </si>
  <si>
    <t>Request created with item list, qty, photos</t>
  </si>
  <si>
    <t>Supervisor</t>
  </si>
  <si>
    <t>Approve or reject supply requests</t>
  </si>
  <si>
    <t>Inventory updated if approved; requester notified</t>
  </si>
  <si>
    <t>Operations Admin</t>
  </si>
  <si>
    <t>View and manage inventory levels</t>
  </si>
  <si>
    <t>Can add/adjust stock, view usage logs</t>
  </si>
  <si>
    <t>Deduct inventory on approval</t>
  </si>
  <si>
    <t>Stock decreases; audit log updated</t>
  </si>
  <si>
    <t>Supervisor/Admin</t>
  </si>
  <si>
    <t>View low-stock alerts</t>
  </si>
  <si>
    <t>System notifies when inventory drops below threshold</t>
  </si>
  <si>
    <t>SITE VISIT MODULE (AD-HOC, ONE-TIME SERVICE)</t>
  </si>
  <si>
    <t>DIFFERENTIATION</t>
  </si>
  <si>
    <t>Contract Tasks = recurring (Daily/Weekly/Monthly)</t>
  </si>
  <si>
    <t>Site Visit = one-time / on-demand / issue-driven (NOT task schedule related)</t>
  </si>
  <si>
    <t>Create Site Visit</t>
  </si>
  <si>
    <t>Visit is logged with type and site details</t>
  </si>
  <si>
    <t>Create/Assign Site Visit</t>
  </si>
  <si>
    <t>Visit appears in assigned user schedule</t>
  </si>
  <si>
    <t>Select Visit Type (One-time/Emergency/Complaint/Other)</t>
  </si>
  <si>
    <t>Type stored and used for SLA classification</t>
  </si>
  <si>
    <t>Upload photos &amp; notes during visit</t>
  </si>
  <si>
    <t>Photos stored and linked to visit record</t>
  </si>
  <si>
    <t>Flag potential work orders (Example: Dumpster Overflow, Carpet Cleaning etc.)</t>
  </si>
  <si>
    <t>Work order flagged for Ops Admin review</t>
  </si>
  <si>
    <t>Add follow-up actions &amp; dates</t>
  </si>
  <si>
    <t>Follow-up tracked until resolved</t>
  </si>
  <si>
    <t>System</t>
  </si>
  <si>
    <t>Auto-differentiate visit from recurring contract task</t>
  </si>
  <si>
    <t>Displays separate module “Site Visits” in app/web</t>
  </si>
  <si>
    <t>Main Menu Option</t>
  </si>
  <si>
    <t>Screen / Context</t>
  </si>
  <si>
    <t>Field Label</t>
  </si>
  <si>
    <t>UI Control Type</t>
  </si>
  <si>
    <t>Placeholder / Example</t>
  </si>
  <si>
    <t>Required?</t>
  </si>
  <si>
    <t>Assigned By</t>
  </si>
  <si>
    <t>Validation / Notes</t>
  </si>
  <si>
    <t>Mobile App (hrs)</t>
  </si>
  <si>
    <t>Backend Dev (API)</t>
  </si>
  <si>
    <t>Total (IN Hrs)</t>
  </si>
  <si>
    <t>MIlestones</t>
  </si>
  <si>
    <t>Technician (Field Staff)</t>
  </si>
  <si>
    <t>Authentication (Pre - Login)</t>
  </si>
  <si>
    <t>Sign-In</t>
  </si>
  <si>
    <t>Phone Number</t>
  </si>
  <si>
    <t>Text Input (numeric keypad)</t>
  </si>
  <si>
    <t>“Enter mobile number”</t>
  </si>
  <si>
    <t>Yes</t>
  </si>
  <si>
    <t>Must be E.164 format or local format; validate registered user; show inline error if not found.</t>
  </si>
  <si>
    <t>Password</t>
  </si>
  <si>
    <t>Password Field</t>
  </si>
  <si>
    <t>“Enter password”</t>
  </si>
  <si>
    <t>Masked; show “Show/Hide” toggle; min 8 chars, server-side validation.</t>
  </si>
  <si>
    <t>Forgot Password Link</t>
  </si>
  <si>
    <t>Link</t>
  </si>
  <si>
    <t>“Forgot Password?”</t>
  </si>
  <si>
    <t>No</t>
  </si>
  <si>
    <t>Sends OTP or password-reset link depending on your Phase-1 design.</t>
  </si>
  <si>
    <t>Sign-In Button</t>
  </si>
  <si>
    <t>Button</t>
  </si>
  <si>
    <t>“Sign In”</t>
  </si>
  <si>
    <t>On click → authenticate → retrieve contracts → redirect to Contract Selector (if &gt;1) or Dashboard (if only 1).</t>
  </si>
  <si>
    <t>Forgot Password</t>
  </si>
  <si>
    <t>Text Input</t>
  </si>
  <si>
    <t>Validate that user exists.</t>
  </si>
  <si>
    <t>Send OTP</t>
  </si>
  <si>
    <t>“Send Code”</t>
  </si>
  <si>
    <t>OTP delivered via SMS.</t>
  </si>
  <si>
    <t>OTP Input</t>
  </si>
  <si>
    <t>PIN Input (6-digit)</t>
  </si>
  <si>
    <t>“Enter OTP”</t>
  </si>
  <si>
    <t>Retry allowed; rate-limit OTP requests.</t>
  </si>
  <si>
    <t>New Password</t>
  </si>
  <si>
    <t>Password Input</t>
  </si>
  <si>
    <t>“Create new password”</t>
  </si>
  <si>
    <t>Validate password rules.</t>
  </si>
  <si>
    <t>Confirm Password</t>
  </si>
  <si>
    <t>“Re-enter password”</t>
  </si>
  <si>
    <t>Must match.</t>
  </si>
  <si>
    <t>Reset Button</t>
  </si>
  <si>
    <t>“Reset Password”</t>
  </si>
  <si>
    <t>On success redirect to Sign-In.</t>
  </si>
  <si>
    <t>OTP Verification (if 2FA enabled)</t>
  </si>
  <si>
    <t>OTP Field</t>
  </si>
  <si>
    <t>PIN Input</t>
  </si>
  <si>
    <t>“Enter verification code”</t>
  </si>
  <si>
    <t>Only shown if 2FA toggle enabled by user in Profile.</t>
  </si>
  <si>
    <t>Resend Code</t>
  </si>
  <si>
    <t>“Resend”</t>
  </si>
  <si>
    <t>Apply resend delay and rate limit.</t>
  </si>
  <si>
    <t>Contract Filter - (Not a Menu Option)</t>
  </si>
  <si>
    <t>Contract Header</t>
  </si>
  <si>
    <t>Contract List</t>
  </si>
  <si>
    <t>Dropdown</t>
  </si>
  <si>
    <t>“XYZ Tower – Recurring Contract”</t>
  </si>
  <si>
    <t>Yes if &gt;1</t>
  </si>
  <si>
    <t>System / Ops Admin</t>
  </si>
  <si>
    <t>Switch reloads ALL contract-scoped data (properties, areas, tasks, schedule, rules).</t>
  </si>
  <si>
    <t xml:space="preserve">Contract Type </t>
  </si>
  <si>
    <t>Badge</t>
  </si>
  <si>
    <t>“Recurring / Ad-Hoc”</t>
  </si>
  <si>
    <t>Enforces feature toggles for tasks, supplies, photos, checklists.</t>
  </si>
  <si>
    <t>Contract Duration</t>
  </si>
  <si>
    <t>Text</t>
  </si>
  <si>
    <t>“Valid: Jan–Dec 2026”</t>
  </si>
  <si>
    <t xml:space="preserve">Yes  </t>
  </si>
  <si>
    <t>Display only.</t>
  </si>
  <si>
    <t>Task Cards</t>
  </si>
  <si>
    <t>Today’s Tasks List</t>
  </si>
  <si>
    <t>Card List</t>
  </si>
  <si>
    <t>—</t>
  </si>
  <si>
    <t>Load ONLY tasks where
task.contract_id == active_contract.id</t>
  </si>
  <si>
    <t>Property</t>
  </si>
  <si>
    <t>“XYZ Tower”</t>
  </si>
  <si>
    <t>Area</t>
  </si>
  <si>
    <t>“Ground Floor Lobby”</t>
  </si>
  <si>
    <t>Task Type</t>
  </si>
  <si>
    <t>“Daily Mopping”</t>
  </si>
  <si>
    <t>From contract template.</t>
  </si>
  <si>
    <t>Scheduled Time</t>
  </si>
  <si>
    <t>DateTime</t>
  </si>
  <si>
    <t>11/26/2025 - 10:15 AM</t>
  </si>
  <si>
    <t>Local timezone.</t>
  </si>
  <si>
    <t xml:space="preserve">Status </t>
  </si>
  <si>
    <t>“Locked / To Do / In Progress”</t>
  </si>
  <si>
    <r>
      <t>If check-in required &amp; not verified → show “Locked”</t>
    </r>
    <r>
      <rPr>
        <sz val="11"/>
        <color theme="1"/>
        <rFont val="Aptos Narrow"/>
        <family val="2"/>
        <scheme val="minor"/>
      </rPr>
      <t>.</t>
    </r>
  </si>
  <si>
    <t>Checklist Summary</t>
  </si>
  <si>
    <t>Pill</t>
  </si>
  <si>
    <t>“2/5 Done”</t>
  </si>
  <si>
    <t>Cond</t>
  </si>
  <si>
    <t>Visible ONLY if task is unlocked.</t>
  </si>
  <si>
    <t>Photo Count</t>
  </si>
  <si>
    <t>Icon + count</t>
  </si>
  <si>
    <t>“2 photos”</t>
  </si>
  <si>
    <t>Visible ONLY if unlocked.</t>
  </si>
  <si>
    <t>Start Button</t>
  </si>
  <si>
    <t>“Start”</t>
  </si>
  <si>
    <t>Tap Action</t>
  </si>
  <si>
    <t>Touch → Navigation</t>
  </si>
  <si>
    <r>
      <t xml:space="preserve">If task is locked → redirects to </t>
    </r>
    <r>
      <rPr>
        <b/>
        <sz val="11"/>
        <color theme="1"/>
        <rFont val="Aptos Narrow"/>
        <family val="2"/>
        <scheme val="minor"/>
      </rPr>
      <t>Check-In Screen</t>
    </r>
    <r>
      <rPr>
        <sz val="11"/>
        <color theme="1"/>
        <rFont val="Aptos Narrow"/>
        <family val="2"/>
        <scheme val="minor"/>
      </rPr>
      <t>.</t>
    </r>
  </si>
  <si>
    <t>Task Detail - Main</t>
  </si>
  <si>
    <t>“Basement Parking - Zone A”</t>
  </si>
  <si>
    <t>Header</t>
  </si>
  <si>
    <t>Based on contract template.</t>
  </si>
  <si>
    <t>Scheduled Window</t>
  </si>
  <si>
    <t>Label</t>
  </si>
  <si>
    <t>“Window: 09:00–11:00”</t>
  </si>
  <si>
    <t>Start allowed only inside window.</t>
  </si>
  <si>
    <t>Start Task</t>
  </si>
  <si>
    <t>“Start Task”</t>
  </si>
  <si>
    <t>Visible only if unlocked + within window.</t>
  </si>
  <si>
    <t>Task Detail - Checklist</t>
  </si>
  <si>
    <t>Checklist (inline accordion)</t>
  </si>
  <si>
    <t>Accordion</t>
  </si>
  <si>
    <t>Loaded from template configured for this area+task under active contract.</t>
  </si>
  <si>
    <t>Item Label</t>
  </si>
  <si>
    <t>“Sweep floor”</t>
  </si>
  <si>
    <t>Template-defined.</t>
  </si>
  <si>
    <t>Response</t>
  </si>
  <si>
    <t>Radio/Text/Dropdown</t>
  </si>
  <si>
    <t>“Yes / No / N/A”</t>
  </si>
  <si>
    <t>Required if template says so.</t>
  </si>
  <si>
    <t>Item Photo</t>
  </si>
  <si>
    <t>Camera Button</t>
  </si>
  <si>
    <t>“Attach photo”</t>
  </si>
  <si>
    <t>Required if contract template says requires_photo.</t>
  </si>
  <si>
    <t>Task Detail - Photos</t>
  </si>
  <si>
    <t>Task-level Photo Upload</t>
  </si>
  <si>
    <t>Camera/Gallery</t>
  </si>
  <si>
    <t>“+ Add Photo”</t>
  </si>
  <si>
    <t>Photos required if
active_contract.proof_required==true</t>
  </si>
  <si>
    <t>Thumbnails</t>
  </si>
  <si>
    <t>Image Preview</t>
  </si>
  <si>
    <t>Remove allowed if not completed.</t>
  </si>
  <si>
    <t>Task Detail - Notes</t>
  </si>
  <si>
    <t>Textarea</t>
  </si>
  <si>
    <t>“Add notes…”</t>
  </si>
  <si>
    <t>Optional.</t>
  </si>
  <si>
    <t>Task Detail - Supplies</t>
  </si>
  <si>
    <t>Supplies Used</t>
  </si>
  <si>
    <t>Multi-row</t>
  </si>
  <si>
    <t>“Add SKU + Qty”</t>
  </si>
  <si>
    <t>Only SKUs allowed under active contract.</t>
  </si>
  <si>
    <t>Task Detail - Signature</t>
  </si>
  <si>
    <t>Signature Pad</t>
  </si>
  <si>
    <t>“Sign here”</t>
  </si>
  <si>
    <t>Required only if template says.</t>
  </si>
  <si>
    <t>Task Detail - Actions</t>
  </si>
  <si>
    <t>Save Draft</t>
  </si>
  <si>
    <t>“Save”</t>
  </si>
  <si>
    <t>Saves partial progress.</t>
  </si>
  <si>
    <t>Complete Task</t>
  </si>
  <si>
    <t>“Mark Complete”</t>
  </si>
  <si>
    <t>Validates template-required fields + required photos.</t>
  </si>
  <si>
    <t>Task Detail - Overlay</t>
  </si>
  <si>
    <t>Lock Banner</t>
  </si>
  <si>
    <t>Banner</t>
  </si>
  <si>
    <t>“Task Locked — Check-In Required”</t>
  </si>
  <si>
    <t>Tap → redirects to Check-In Screen.</t>
  </si>
  <si>
    <t>Lock Reason</t>
  </si>
  <si>
    <t>“Check-In pending”</t>
  </si>
  <si>
    <t>Applies ONLY if contract requires check-in.</t>
  </si>
  <si>
    <t>Action When Tapped</t>
  </si>
  <si>
    <t>Navigation</t>
  </si>
  <si>
    <t>→ Check-In</t>
  </si>
  <si>
    <t>Automatic redirect.</t>
  </si>
  <si>
    <t>Future Tasks</t>
  </si>
  <si>
    <t>Scheduled Tasks List</t>
  </si>
  <si>
    <t>Cards</t>
  </si>
  <si>
    <t>Only future tasks for active contract.</t>
  </si>
  <si>
    <t>Recurrence</t>
  </si>
  <si>
    <t>“Weekly”</t>
  </si>
  <si>
    <t>From contract recurrence.</t>
  </si>
  <si>
    <t>Next Scheduled Time</t>
  </si>
  <si>
    <t>Status</t>
  </si>
  <si>
    <t>“Locked until Schedule Window”</t>
  </si>
  <si>
    <t>Unlocks only at scheduled window.</t>
  </si>
  <si>
    <t>If locked: redirect to Check-In if check-in required. If unlocked: open Task Detail.</t>
  </si>
  <si>
    <t>Check-In (Triggered Screen, not a menu item)</t>
  </si>
  <si>
    <t>Access Verification</t>
  </si>
  <si>
    <t>Based on task’s contract mapping.</t>
  </si>
  <si>
    <t>“Lobby”</t>
  </si>
  <si>
    <t>Instructions</t>
  </si>
  <si>
    <t>Static Text</t>
  </si>
  <si>
    <t>“Ask client for access code.”</t>
  </si>
  <si>
    <t>Only if this contract requires check-in.</t>
  </si>
  <si>
    <t>Access Code</t>
  </si>
  <si>
    <t>“Enter 6-digit code”</t>
  </si>
  <si>
    <t>Validate against schedule_event.access_code.</t>
  </si>
  <si>
    <t>Verify Button</t>
  </si>
  <si>
    <t>“Verify &amp; Continue”</t>
  </si>
  <si>
    <t>On success → unlocks all tasks for this schedule_event.</t>
  </si>
  <si>
    <t>Error Message</t>
  </si>
  <si>
    <t>Inline Text</t>
  </si>
  <si>
    <t>“Incorrect code (2 attempts left)”</t>
  </si>
  <si>
    <t>Rate-limit attempts.</t>
  </si>
  <si>
    <t>Ticket List</t>
  </si>
  <si>
    <t>Tickets</t>
  </si>
  <si>
    <t>List</t>
  </si>
  <si>
    <t xml:space="preserve">Supervisor / Team Lead </t>
  </si>
  <si>
    <t>Filter by
ticket.contract_id == active_contract.id</t>
  </si>
  <si>
    <t>Ticket Detail</t>
  </si>
  <si>
    <t>Title</t>
  </si>
  <si>
    <t>“Water leak in basement”</t>
  </si>
  <si>
    <t>Display.</t>
  </si>
  <si>
    <t>Add Comment</t>
  </si>
  <si>
    <t>“Add update…”</t>
  </si>
  <si>
    <t>Any</t>
  </si>
  <si>
    <t>Appends to ticket history.</t>
  </si>
  <si>
    <t>Add Photo</t>
  </si>
  <si>
    <t>File upload</t>
  </si>
  <si>
    <t>Validates photo rules.</t>
  </si>
  <si>
    <t>Resolve</t>
  </si>
  <si>
    <t>“Resolve Ticket”</t>
  </si>
  <si>
    <t>Tech can resolve ONLY IF assigned_by_role in {Supervisor, TL}.</t>
  </si>
  <si>
    <t>Supply Request (Phase 3)</t>
  </si>
  <si>
    <t>Request Form</t>
  </si>
  <si>
    <t>Contract</t>
  </si>
  <si>
    <t>Hidden / Label</t>
  </si>
  <si>
    <t>active_contract.name</t>
  </si>
  <si>
    <t>Always bound to active contract.</t>
  </si>
  <si>
    <t>Only properties in active contract.</t>
  </si>
  <si>
    <t>Filtered by property.</t>
  </si>
  <si>
    <t>Item SKU</t>
  </si>
  <si>
    <t>Dropdown (searchable)</t>
  </si>
  <si>
    <t>“Bleach (SKU123)”</t>
  </si>
  <si>
    <t>Only SKUs allowed under this contract.</t>
  </si>
  <si>
    <t>Quantity</t>
  </si>
  <si>
    <t>Number</t>
  </si>
  <si>
    <t>“Qty”</t>
  </si>
  <si>
    <t>&gt;0; approval if above threshold.</t>
  </si>
  <si>
    <t>Billable Label</t>
  </si>
  <si>
    <t>Label/Toggle</t>
  </si>
  <si>
    <t>“Included / Billable”</t>
  </si>
  <si>
    <t>Controlled by contract’s supply_billing_rule.</t>
  </si>
  <si>
    <t>Attach Photo</t>
  </si>
  <si>
    <t>File Upload</t>
  </si>
  <si>
    <t>“Add photo”</t>
  </si>
  <si>
    <t>Submit</t>
  </si>
  <si>
    <t>“Request Supplies”</t>
  </si>
  <si>
    <t>Creates supply_request tied to contract.</t>
  </si>
  <si>
    <t>Notifications &amp; Offline Sync</t>
  </si>
  <si>
    <t>Sync</t>
  </si>
  <si>
    <t>Sync Status</t>
  </si>
  <si>
    <t>“Offline”</t>
  </si>
  <si>
    <t>Contract-scoped queue.</t>
  </si>
  <si>
    <t>Pending Actions</t>
  </si>
  <si>
    <t>“3 pending actions”</t>
  </si>
  <si>
    <t>Segmented by contract_id.</t>
  </si>
  <si>
    <t>Feed</t>
  </si>
  <si>
    <t>Notification List</t>
  </si>
  <si>
    <t>Filter by active_contract unless global.</t>
  </si>
  <si>
    <t>Profile Landing</t>
  </si>
  <si>
    <t>Display Photo</t>
  </si>
  <si>
    <t>File upload (avatar)</t>
  </si>
  <si>
    <t>“Upload photo”</t>
  </si>
  <si>
    <t>Max 5MB, jpg/png/heic. Optional in Phase-1. Show circular thumbnail.</t>
  </si>
  <si>
    <t>Display Name</t>
  </si>
  <si>
    <t>Text input</t>
  </si>
  <si>
    <t>“John Doe”</t>
  </si>
  <si>
    <t>Max 100 chars. Updates users.name</t>
  </si>
  <si>
    <t>Mobile Number</t>
  </si>
  <si>
    <t>Read-only label</t>
  </si>
  <si>
    <t>“+971 5xx xxx xxxx”</t>
  </si>
  <si>
    <t>E.164 format. Editable only via Ops Admin flow (Phase-1 read-only).</t>
  </si>
  <si>
    <t>Email</t>
  </si>
  <si>
    <t>“john@client.com”</t>
  </si>
  <si>
    <t>Validate email format; optional.</t>
  </si>
  <si>
    <t>Job Title / Role</t>
  </si>
  <si>
    <t>“Technician”</t>
  </si>
  <si>
    <t>Shown for context.</t>
  </si>
  <si>
    <t>Assigned Contracts</t>
  </si>
  <si>
    <t>List (tapable)</t>
  </si>
  <si>
    <t>“ABC Tower — Recurring”</t>
  </si>
  <si>
    <t>Lists contracts user belongs to; tap to open Contract Details screen.</t>
  </si>
  <si>
    <t>Contract Details</t>
  </si>
  <si>
    <t>Contract Name</t>
  </si>
  <si>
    <t>“ABC Tower – Recurring”</t>
  </si>
  <si>
    <t>Display contract meta.</t>
  </si>
  <si>
    <t>Contract Type</t>
  </si>
  <si>
    <t>“Recurring / Ad-hoc”</t>
  </si>
  <si>
    <t>Contract Dates</t>
  </si>
  <si>
    <t>“01 Jan – 31 Dec 2026”</t>
  </si>
  <si>
    <t>Properties (under contract)</t>
  </si>
  <si>
    <t>Collapsible list</t>
  </si>
  <si>
    <t>“ABC Tower &gt; Lobby, Parking”</t>
  </si>
  <si>
    <t>Tap property to view area list.</t>
  </si>
  <si>
    <t>x</t>
  </si>
  <si>
    <t>“Lobby, Restrooms”</t>
  </si>
  <si>
    <t>Default Contract Selector</t>
  </si>
  <si>
    <t>“Set as default”</t>
  </si>
  <si>
    <t>Set which contract auto-selects at login. Visible if user has &gt;1 contract.</t>
  </si>
  <si>
    <t>Settings</t>
  </si>
  <si>
    <t>Change Password</t>
  </si>
  <si>
    <t>Link → Form (old/new/confirm)</t>
  </si>
  <si>
    <t>New password rules: min 8 chars, 1 uppercase, 1 digit. Server validates.</t>
  </si>
  <si>
    <t>Two-Factor Auth (2FA)</t>
  </si>
  <si>
    <t>Toggle (on/off)</t>
  </si>
  <si>
    <t>“Enable 2FA (SMS)”</t>
  </si>
  <si>
    <t>If enabled, send OTP and verify immediately. Persist preference.</t>
  </si>
  <si>
    <t>Preferred Language</t>
  </si>
  <si>
    <t>“English / Arabic”</t>
  </si>
  <si>
    <t>Persist locale; UI updates after restart or reload.</t>
  </si>
  <si>
    <t>Notification Preferences</t>
  </si>
  <si>
    <t>Toggles (push/in-app/sms)</t>
  </si>
  <si>
    <t>“Task updates / Tickets / Supply”</t>
  </si>
  <si>
    <t>Default on for Task updates; if user disables push, still show in-app. SMS reserved for critical alerts.</t>
  </si>
  <si>
    <t>Location Permission Status</t>
  </si>
  <si>
    <t>Label + Action</t>
  </si>
  <si>
    <t>“Enabled / Disabled”</t>
  </si>
  <si>
    <t>Show system permission status; link to device settings. (No GPS check-in in Phase-1).</t>
  </si>
  <si>
    <t>App Version</t>
  </si>
  <si>
    <t>“v1.0.3”</t>
  </si>
  <si>
    <t>Privacy &amp; Terms</t>
  </si>
  <si>
    <t>“View”</t>
  </si>
  <si>
    <t>Opens web view to terms (if required).</t>
  </si>
  <si>
    <t>Accessibility Options</t>
  </si>
  <si>
    <t>Links / toggles</t>
  </si>
  <si>
    <t>“Large text / High contrast”</t>
  </si>
  <si>
    <t>Basic accessibility toggles if supported.</t>
  </si>
  <si>
    <t>Account</t>
  </si>
  <si>
    <t>Sign-Out / Logout</t>
  </si>
  <si>
    <t>“Log out”</t>
  </si>
  <si>
    <t>Clears local cache &amp; queues, prompts if pending offline items.</t>
  </si>
  <si>
    <t>Delete Account (Admin only)</t>
  </si>
  <si>
    <t>Not available to technician in Phase-1.</t>
  </si>
  <si>
    <t>Audit / Activity</t>
  </si>
  <si>
    <t>Recent Activity</t>
  </si>
  <si>
    <t>“Completed Task — Lobby — 10:15 AM”</t>
  </si>
  <si>
    <t>Optional: shows last X actions for transparency. Read-only.</t>
  </si>
  <si>
    <t>Contact Client Rep</t>
  </si>
  <si>
    <t>Client Contact list</t>
  </si>
  <si>
    <t>List / tap to call/SMS</t>
  </si>
  <si>
    <t>“Site Rep: +971 5xx”</t>
  </si>
  <si>
    <t>If client contact present at property, show call &amp; SMS shortcut. Permissions &amp; rate limits apply.</t>
  </si>
  <si>
    <t>Help Landing</t>
  </si>
  <si>
    <t>Quick Help Topics</t>
  </si>
  <si>
    <t>Accordion / List</t>
  </si>
  <si>
    <t>“How to check-in / Photo limits / Offline”</t>
  </si>
  <si>
    <t>Static content + links to FAQ articles. Content editable by Ops Admin.</t>
  </si>
  <si>
    <t>Contact Support (Create Ticket) CTA</t>
  </si>
  <si>
    <t>“Report an issue”</t>
  </si>
  <si>
    <t>Opens Create Support Ticket form.</t>
  </si>
  <si>
    <t>Create Support Ticket</t>
  </si>
  <si>
    <t>Subject</t>
  </si>
  <si>
    <t>“Describe issue in short”</t>
  </si>
  <si>
    <t>Max 100 chars.</t>
  </si>
  <si>
    <t>Category</t>
  </si>
  <si>
    <t>“App Issue / Site Issue / Supply / Other”</t>
  </si>
  <si>
    <t>Used for routing; categories defined by Ops Admin.</t>
  </si>
  <si>
    <t>Description</t>
  </si>
  <si>
    <t>“Detailed description…”</t>
  </si>
  <si>
    <t>Max 2000 chars. Encourage steps to reproduce &amp; site context.</t>
  </si>
  <si>
    <t>Attachments</t>
  </si>
  <si>
    <t>“Add photos/screenshots”</t>
  </si>
  <si>
    <t>Images max 5MB; up to 5 files. Attachments linked to
contract_id and optional task_id / ticket_id</t>
  </si>
  <si>
    <t>Related Contract</t>
  </si>
  <si>
    <t>Dropdown / Hidden (prefill)</t>
  </si>
  <si>
    <t>Prefill with active_contract if opened from contract context; allow change only if user has &gt;1 contract and started from global menu.</t>
  </si>
  <si>
    <t>Related Property</t>
  </si>
  <si>
    <t>Dropdown (filtered)</t>
  </si>
  <si>
    <t>“ABC Tower - Lobby”</t>
  </si>
  <si>
    <t>Optional, but recommended.</t>
  </si>
  <si>
    <t>Urgency / Priority</t>
  </si>
  <si>
    <t>“Low / Normal / High”</t>
  </si>
  <si>
    <t>If "High" may trigger SMS to Ops Admin or Supervisor.</t>
  </si>
  <si>
    <t>Submit Button</t>
  </si>
  <si>
    <t>“Send to Support”</t>
  </si>
  <si>
    <t>On submit: create support_ticket record routed to Client Relations / Ops Admin. Show ticket number and confirmation.</t>
  </si>
  <si>
    <t>My Support Tickets</t>
  </si>
  <si>
    <t>“SUP-1234 — App crash”</t>
  </si>
  <si>
    <t>Lists support tickets created by user (filter by contract if present).</t>
  </si>
  <si>
    <t>Ticket Row Details</t>
  </si>
  <si>
    <t>Title / Status / Created At</t>
  </si>
  <si>
    <t>“SUP-1234 • Open”</t>
  </si>
  <si>
    <t>Tap to open ticket detail.</t>
  </si>
  <si>
    <t>Support Ticket Detail</t>
  </si>
  <si>
    <t>“SUP-1234: Unable to upload photo”</t>
  </si>
  <si>
    <t>Shows full history.</t>
  </si>
  <si>
    <t>Thread / Messages</t>
  </si>
  <si>
    <t>Thread UI</t>
  </si>
  <si>
    <t>“Technician: I see error X”</t>
  </si>
  <si>
    <t>Messages from support team and user.</t>
  </si>
  <si>
    <t>Add Message / Comment</t>
  </si>
  <si>
    <t>“Additional info…”</t>
  </si>
  <si>
    <t>Attach images to messages; messages append to thread.</t>
  </si>
  <si>
    <t>“Add screenshot”</t>
  </si>
  <si>
    <t>Same media rules.</t>
  </si>
  <si>
    <t>Close Ticket</t>
  </si>
  <si>
    <t>“Close”</t>
  </si>
  <si>
    <t>User can close only if support allows; server-side flag user_can_close</t>
  </si>
  <si>
    <t>Escalate</t>
  </si>
  <si>
    <t>“Escalate to Supervisor”</t>
  </si>
  <si>
    <t>Only if ticket category/priority meets escalation rules; may create Site Visit or alert Supervisor.</t>
  </si>
  <si>
    <t>Support Ticket Notifications</t>
  </si>
  <si>
    <t>Push / In-app notification</t>
  </si>
  <si>
    <t>Notification</t>
  </si>
  <si>
    <t>“SUP-1234: Support replied”</t>
  </si>
  <si>
    <t>Push if enabled in notification prefs; deep link to ticket.</t>
  </si>
  <si>
    <t>Feedback (post-ticket)</t>
  </si>
  <si>
    <t>Rate Support</t>
  </si>
  <si>
    <t>Rating input (1–5)</t>
  </si>
  <si>
    <t>“Rate your support”</t>
  </si>
  <si>
    <t>Optional after ticket close; feeds into Ops reporting.</t>
  </si>
  <si>
    <t>Contact Client Rep (from support)</t>
  </si>
  <si>
    <t>Call / SMS button</t>
  </si>
  <si>
    <t>Shortcut</t>
  </si>
  <si>
    <t>“Call site rep”</t>
  </si>
  <si>
    <t>If ticket needs client confirmation, show client contact if available.</t>
  </si>
  <si>
    <t>Offline Behavior</t>
  </si>
  <si>
    <t>Draft Save</t>
  </si>
  <si>
    <t>Auto-save/form draft</t>
  </si>
  <si>
    <t>“Draft saved”</t>
  </si>
  <si>
    <t>Yes (if offline)</t>
  </si>
  <si>
    <t>If offline, allow saving ticket draft to queue; submit when online.</t>
  </si>
  <si>
    <t>Security &amp; Privacy</t>
  </si>
  <si>
    <t>PII Warning</t>
  </si>
  <si>
    <t>Inline text</t>
  </si>
  <si>
    <t>“Don’t share passwords”</t>
  </si>
  <si>
    <t>Guidance for user.</t>
  </si>
  <si>
    <t>Consolidated Menu Options - List</t>
  </si>
  <si>
    <t>GLOBAL (present on most screens)</t>
  </si>
  <si>
    <t>These are not a menu — they sit in the app chrome/header and affect everything.</t>
  </si>
  <si>
    <t>Active Contract Selector (global header)</t>
  </si>
  <si>
    <t>Control: Dropdown (searchable) / Contract Type badge / Client / Dates</t>
  </si>
  <si>
    <t>Behavior: mandatory when user has &gt;1 contract; toggles contract-scoped data refresh</t>
  </si>
  <si>
    <t>Contract context shown in header</t>
  </si>
  <si>
    <t xml:space="preserve">active_contract.name,type, expiration															</t>
  </si>
  <si>
    <t>Global data requirements</t>
  </si>
  <si>
    <t>Every API call for tasks/tickets/supplies must include</t>
  </si>
  <si>
    <t>contract_id == active_contract.id</t>
  </si>
  <si>
    <t>1) Dashboard (Today’s Tasks)</t>
  </si>
  <si>
    <t>Screens / Components:</t>
  </si>
  <si>
    <t>Today’s Tasks List (cards)</t>
  </si>
  <si>
    <t>Task Card (collapsed)</t>
  </si>
  <si>
    <t>Task Card (expanded inline to Task Detail)</t>
  </si>
  <si>
    <t>Fields / Controls (from matrix):</t>
  </si>
  <si>
    <t>Property (card) — text</t>
  </si>
  <si>
    <t>Area (card) — text</t>
  </si>
  <si>
    <t>Task Type / Task Name — text header</t>
  </si>
  <si>
    <t>Scheduled Time / Due Time — text</t>
  </si>
  <si>
    <t>Status Badge — lock/to-do/in-progress</t>
  </si>
  <si>
    <t>Checklist Summary (card pill) — “2/5” (only when unlocked)</t>
  </si>
  <si>
    <t>Photo Count (card) — icon+count (only when unlocked)</t>
  </si>
  <si>
    <t>Start Button (quick) — only visible when task unlocked &amp; within window</t>
  </si>
  <si>
    <t>Tap Action on card: opens Task Detail OR redirects to Check-In screen if locked</t>
  </si>
  <si>
    <t>Lock Indicator / Locked Banner (visual only) — shows lock state, not an input</t>
  </si>
  <si>
    <t>Acceptance / dev notes:</t>
  </si>
  <si>
    <t>NO Access Code entry on dashboard. If locked, tapping routes to Check-In.</t>
  </si>
  <si>
    <t>Tasks loaded filtered by</t>
  </si>
  <si>
    <t>task.contract_id == active_contract.id</t>
  </si>
  <si>
    <t>and assignment.</t>
  </si>
  <si>
    <t>2) Scheduled Tasks</t>
  </si>
  <si>
    <t>Scheduled Tasks List (future occurrences)</t>
  </si>
  <si>
    <t>Scheduled Task Card / Recurrence summary</t>
  </si>
  <si>
    <t>Fields / Controls:</t>
  </si>
  <si>
    <t>Task Name</t>
  </si>
  <si>
    <t>Next Occurrence / Scheduled Time (RRULE-derived)</t>
  </si>
  <si>
    <t>Frequency Badge (Daily/Weekly/Monthly)</t>
  </si>
  <si>
    <t>Locked Banner (shows opens at scheduled time)</t>
  </si>
  <si>
    <t>Tap Action: if within window &amp; unlocked, open Task Detail; otherwise route to Check-In when check-in required</t>
  </si>
  <si>
    <t>Read-only until active window; summary only (no full checklist loaded until active window).</t>
  </si>
  <si>
    <t xml:space="preserve">Contract-scoped feed: show only schedule events for active_contract.id		</t>
  </si>
  <si>
    <t>3) My Tickets</t>
  </si>
  <si>
    <t>Tickets List (contract-scoped)</t>
  </si>
  <si>
    <t>Ticket Detail modal / screen</t>
  </si>
  <si>
    <t>Ticket actions (comment, attach photo, resolve — conditional)</t>
  </si>
  <si>
    <t>Ticket Title, Severity, Status</t>
  </si>
  <si>
    <t>Ticket thread / comments</t>
  </si>
  <si>
    <t>Add Comment textarea</t>
  </si>
  <si>
    <t>Attach Photo (file upload)</t>
  </si>
  <si>
    <t>Resolve button (visible only if</t>
  </si>
  <si>
    <t>ticket.assigned_by_role</t>
  </si>
  <si>
    <t>permits resolution by tech)</t>
  </si>
  <si>
    <t>Load tickets where</t>
  </si>
  <si>
    <t>ticket.contract_id == active_contract.id</t>
  </si>
  <si>
    <t>AND</t>
  </si>
  <si>
    <t>ticket.assigned_to_id == user_id</t>
  </si>
  <si>
    <t>assigned_by_role</t>
  </si>
  <si>
    <t>∈ allowed set (Supervisor, Team Lead).</t>
  </si>
  <si>
    <t>Server-side enforcement for resolve permissions.</t>
  </si>
  <si>
    <t>4) Supply Request</t>
  </si>
  <si>
    <t>Supply Request form</t>
  </si>
  <si>
    <t>Supply Request list/status (optional view)</t>
  </si>
  <si>
    <t>Supply request submission flow (with supervisor approval flow)</t>
  </si>
  <si>
    <t>Contract (hidden/prefill)</t>
  </si>
  <si>
    <t>Property (dropdown filtered by contract)</t>
  </si>
  <si>
    <t>Area (dropdown filtered by property)</t>
  </si>
  <si>
    <t>SKU / Item selector (only allowed SKUs for contract)</t>
  </si>
  <si>
    <t>Quantity (numeric)</t>
  </si>
  <si>
    <t>Billable flag (label / toggle) — default from</t>
  </si>
  <si>
    <t>active_contract.supply_billing_rule</t>
  </si>
  <si>
    <t>Notes</t>
  </si>
  <si>
    <t>Submit button</t>
  </si>
  <si>
    <t>If request &gt; threshold or billable override → Supervisor approval required.</t>
  </si>
  <si>
    <t>When launched from a task, contract/property/area prefills.</t>
  </si>
  <si>
    <t>5) Notifications</t>
  </si>
  <si>
    <t>Notification Feed list</t>
  </si>
  <si>
    <t>Notification item detail (deep link to context)</t>
  </si>
  <si>
    <t>Notification title + time</t>
  </si>
  <si>
    <t>Tap navigates to related screen (task, ticket, supply request)</t>
  </si>
  <si>
    <t>Mark read (action)</t>
  </si>
  <si>
    <t>Prefer contract-filtered notifications (</t>
  </si>
  <si>
    <t>notification.contract_id == active_contract.id</t>
  </si>
  <si>
    <t>) unless global.</t>
  </si>
  <si>
    <t>6) Offline Sync</t>
  </si>
  <si>
    <t>Sync Status badge / header (shows online/offline/syncing)</t>
  </si>
  <si>
    <t>Pending Actions list (contract segmented)</t>
  </si>
  <si>
    <t>Force Sync button / retry controls</t>
  </si>
  <si>
    <t>Last sync time label</t>
  </si>
  <si>
    <t>Pending items list (each entry shows type: checklist/photo/supply/ticket)</t>
  </si>
  <si>
    <t>Sync Now action</t>
  </si>
  <si>
    <t>Queue items must be stored per</t>
  </si>
  <si>
    <t>contract_id</t>
  </si>
  <si>
    <t>and processed with priority rules.</t>
  </si>
  <si>
    <t>Photos queued but may require retry if large.</t>
  </si>
  <si>
    <t>7) Profile &amp; Settings</t>
  </si>
  <si>
    <t>Profile view (name, phone, email, photo)</t>
  </si>
  <si>
    <t>Settings (change password, 2FA toggle, language)</t>
  </si>
  <si>
    <t>Contracts list &amp; default contract selector</t>
  </si>
  <si>
    <t>Display Name (editable)</t>
  </si>
  <si>
    <t>Phone (read-only by default)</t>
  </si>
  <si>
    <t>Email (editable)</t>
  </si>
  <si>
    <t>Profile photo upload</t>
  </si>
  <si>
    <t>Default contract selection</t>
  </si>
  <si>
    <t>Logout</t>
  </si>
  <si>
    <t>Contracts list shows all contracts assigned to user; default contract used at login.</t>
  </si>
  <si>
    <t>8) Help / Support</t>
  </si>
  <si>
    <t>Create Support Ticket form</t>
  </si>
  <si>
    <t>Support ticket list / status (optional)</t>
  </si>
  <si>
    <t>Subject (text)</t>
  </si>
  <si>
    <t>Description (textarea)</t>
  </si>
  <si>
    <t>Attachments (photos/screenshots)</t>
  </si>
  <si>
    <t>Support tickets should include</t>
  </si>
  <si>
    <t>context when created from within an active contract.</t>
  </si>
  <si>
    <t>Screen Group</t>
  </si>
  <si>
    <t>"Enter mobile number"</t>
  </si>
  <si>
    <t>Validate number; check user existence</t>
  </si>
  <si>
    <t>"Enter password"</t>
  </si>
  <si>
    <t>Masked; min 8 chars</t>
  </si>
  <si>
    <t>"Forgot Password?"</t>
  </si>
  <si>
    <t>Opens reset flow</t>
  </si>
  <si>
    <t>"Sign In"</t>
  </si>
  <si>
    <t>Auth → load contracts</t>
  </si>
  <si>
    <t>Validate user</t>
  </si>
  <si>
    <t>"Send Code"</t>
  </si>
  <si>
    <t>SMS OTP</t>
  </si>
  <si>
    <t>"Enter OTP"</t>
  </si>
  <si>
    <t>Validate; rate-limit</t>
  </si>
  <si>
    <t>"New password"</t>
  </si>
  <si>
    <t>Validate policy</t>
  </si>
  <si>
    <t>"Re-enter password"</t>
  </si>
  <si>
    <t>Must match</t>
  </si>
  <si>
    <t>"Reset Password"</t>
  </si>
  <si>
    <t>Redirect to Sign-In</t>
  </si>
  <si>
    <t>OTP Verification</t>
  </si>
  <si>
    <t>"Enter verification code"</t>
  </si>
  <si>
    <t>Only if 2FA enabled</t>
  </si>
  <si>
    <t>"Resend"</t>
  </si>
  <si>
    <t>Rate-limit</t>
  </si>
  <si>
    <t>Global Header (Not a Menu Option)</t>
  </si>
  <si>
    <t>Active Contract Selector</t>
  </si>
  <si>
    <t>"ACME HQ – Recurring"</t>
  </si>
  <si>
    <t>System/Ops Admin</t>
  </si>
  <si>
    <t>Reload all contract-scoped data</t>
  </si>
  <si>
    <t>"Recurring / Ad-hoc"</t>
  </si>
  <si>
    <t>Controls check-in/SLA/supplies rules</t>
  </si>
  <si>
    <t>"Valid: Jan–Dec 2026"</t>
  </si>
  <si>
    <t>Read-only</t>
  </si>
  <si>
    <t>Team Overview Cards</t>
  </si>
  <si>
    <t>Team Overview</t>
  </si>
  <si>
    <t>Team Tasks Summary</t>
  </si>
  <si>
    <t>"7 tasks today"</t>
  </si>
  <si>
    <t>Shows tasks for TL team</t>
  </si>
  <si>
    <t>"ACME HQ"</t>
  </si>
  <si>
    <t>Display only</t>
  </si>
  <si>
    <t>"Floor 2 Lobby"</t>
  </si>
  <si>
    <t>Assigned Technician</t>
  </si>
  <si>
    <t>"Assigned: John K."</t>
  </si>
  <si>
    <t>Tap → Tech task list</t>
  </si>
  <si>
    <t>Status Badge</t>
  </si>
  <si>
    <t>"To Do / In Progress"</t>
  </si>
  <si>
    <t>Task status</t>
  </si>
  <si>
    <t>Touch → Nav</t>
  </si>
  <si>
    <t>Locked → Check-In</t>
  </si>
  <si>
    <t>Quick Filters</t>
  </si>
  <si>
    <t>Filters</t>
  </si>
  <si>
    <t>Filter Controls</t>
  </si>
  <si>
    <t>Dropdown/Toggles</t>
  </si>
  <si>
    <t>"Property / Area / Tech"</t>
  </si>
  <si>
    <t>Applies across modules</t>
  </si>
  <si>
    <t>Team Tasks</t>
  </si>
  <si>
    <t>Technician List</t>
  </si>
  <si>
    <t>Technician Row</t>
  </si>
  <si>
    <t>List Item</t>
  </si>
  <si>
    <t>"John K — On duty"</t>
  </si>
  <si>
    <t>Shows TL technicians only</t>
  </si>
  <si>
    <t>Technician Task List</t>
  </si>
  <si>
    <t>Technician Tasks</t>
  </si>
  <si>
    <t>Task Card</t>
  </si>
  <si>
    <t>Card</t>
  </si>
  <si>
    <t>"Daily Mopping"</t>
  </si>
  <si>
    <t>Tap → Task Detail or Check-In Status</t>
  </si>
  <si>
    <t>Single Assign</t>
  </si>
  <si>
    <t>Assign To</t>
  </si>
  <si>
    <t>"Select technician"</t>
  </si>
  <si>
    <t>Technician must belong to active contract</t>
  </si>
  <si>
    <t>Reason</t>
  </si>
  <si>
    <t>"Reason for assigning"</t>
  </si>
  <si>
    <t>Required only if contract.assignment_requires_reason = true</t>
  </si>
  <si>
    <t>Confirm Assign</t>
  </si>
  <si>
    <t>"Assign Task"</t>
  </si>
  <si>
    <t>Creates assignment event + audit log</t>
  </si>
  <si>
    <t>Reassign</t>
  </si>
  <si>
    <t>Reassign Form</t>
  </si>
  <si>
    <t>Select Technician</t>
  </si>
  <si>
    <t>TL</t>
  </si>
  <si>
    <t>Must belong to contract</t>
  </si>
  <si>
    <t>"Reason for reassign"</t>
  </si>
  <si>
    <t>Required if policy enabled</t>
  </si>
  <si>
    <t>Bulk Assign</t>
  </si>
  <si>
    <t>Bulk Assign UI</t>
  </si>
  <si>
    <t>Select Tasks</t>
  </si>
  <si>
    <t>Checkbox List</t>
  </si>
  <si>
    <t>Multi-select</t>
  </si>
  <si>
    <t>Contract-scoped</t>
  </si>
  <si>
    <t>Inspections</t>
  </si>
  <si>
    <t>Inspection List</t>
  </si>
  <si>
    <t>Inspection Tasks</t>
  </si>
  <si>
    <t>Inspection Row</t>
  </si>
  <si>
    <t>Template-based inspection list</t>
  </si>
  <si>
    <t>Inspection Detail</t>
  </si>
  <si>
    <t>Inspection Template</t>
  </si>
  <si>
    <t>Question Label</t>
  </si>
  <si>
    <t>"Are dispensers stocked?"</t>
  </si>
  <si>
    <t>Template-defined</t>
  </si>
  <si>
    <t>"Yes/No/N/A"</t>
  </si>
  <si>
    <t>Required if template marks required</t>
  </si>
  <si>
    <t>"Attach photo"</t>
  </si>
  <si>
    <t>Required for fail/critical items</t>
  </si>
  <si>
    <t>"Add observation…"</t>
  </si>
  <si>
    <t>Optional</t>
  </si>
  <si>
    <t>Photos</t>
  </si>
  <si>
    <t>Photo Upload</t>
  </si>
  <si>
    <t>"Add photo"</t>
  </si>
  <si>
    <t>As per template</t>
  </si>
  <si>
    <t>"Submit Inspection"</t>
  </si>
  <si>
    <t>Auto-create SLA ticket if fail threshold met</t>
  </si>
  <si>
    <t>SLA Tickets</t>
  </si>
  <si>
    <t>SLA Ticket List</t>
  </si>
  <si>
    <t>Ticket Row</t>
  </si>
  <si>
    <t>"Ticket #123 — Leak"</t>
  </si>
  <si>
    <t>SLA Ticket Detail</t>
  </si>
  <si>
    <t>Ticket Meta</t>
  </si>
  <si>
    <t>"Water leak — Basement"</t>
  </si>
  <si>
    <t>Assignment</t>
  </si>
  <si>
    <t>Assign Technician</t>
  </si>
  <si>
    <t>"Select tech"</t>
  </si>
  <si>
    <t>Contract-bound</t>
  </si>
  <si>
    <t>Comment</t>
  </si>
  <si>
    <t>"Add update…"</t>
  </si>
  <si>
    <t>Photo</t>
  </si>
  <si>
    <t>Actions</t>
  </si>
  <si>
    <t>"Escalate"</t>
  </si>
  <si>
    <t>SLA rules</t>
  </si>
  <si>
    <t>Mark Resolved</t>
  </si>
  <si>
    <t>"Resolve Ticket"</t>
  </si>
  <si>
    <t>Requires proof if needed</t>
  </si>
  <si>
    <t>Site Visits</t>
  </si>
  <si>
    <t>Create Visit</t>
  </si>
  <si>
    <t>Add Visit Form</t>
  </si>
  <si>
    <t>Date of Visit</t>
  </si>
  <si>
    <t>Date</t>
  </si>
  <si>
    <t>"11-07-2025"</t>
  </si>
  <si>
    <t>Required</t>
  </si>
  <si>
    <t>Type of Visit</t>
  </si>
  <si>
    <t>"Scheduled / Emergency"</t>
  </si>
  <si>
    <t>Defines workflow</t>
  </si>
  <si>
    <t>Dropdown/Search</t>
  </si>
  <si>
    <t>Contract property</t>
  </si>
  <si>
    <t>Scope Details</t>
  </si>
  <si>
    <t>"Describe scope…"</t>
  </si>
  <si>
    <t>Potential WOs</t>
  </si>
  <si>
    <t>"Window cleaning, Overflow"</t>
  </si>
  <si>
    <t>Is Team Able to Perform</t>
  </si>
  <si>
    <t>Radio</t>
  </si>
  <si>
    <t>"Yes / No"</t>
  </si>
  <si>
    <t>If No → escalate</t>
  </si>
  <si>
    <t>Hidden</t>
  </si>
  <si>
    <t>Auto-bound</t>
  </si>
  <si>
    <t>"Lobby"</t>
  </si>
  <si>
    <t>Filtered</t>
  </si>
  <si>
    <t>"Bleach (SKU123)"</t>
  </si>
  <si>
    <t>Allowed SKUs only</t>
  </si>
  <si>
    <t>"Qty"</t>
  </si>
  <si>
    <t>Mandatory</t>
  </si>
  <si>
    <t>Billable</t>
  </si>
  <si>
    <t>Toggle</t>
  </si>
  <si>
    <t>"Included / Billable"</t>
  </si>
  <si>
    <t>Contract rule</t>
  </si>
  <si>
    <t>"Submit Request"</t>
  </si>
  <si>
    <t>Insert supply_request record</t>
  </si>
  <si>
    <t>Notification Row</t>
  </si>
  <si>
    <t>"New SLA ticket assigned"</t>
  </si>
  <si>
    <t>Deep link</t>
  </si>
  <si>
    <t>"Offline"</t>
  </si>
  <si>
    <t>"3 pending actions"</t>
  </si>
  <si>
    <t>Offline queue</t>
  </si>
  <si>
    <t>"Upload photo"</t>
  </si>
  <si>
    <t>"Mary L."</t>
  </si>
  <si>
    <t>Update</t>
  </si>
  <si>
    <t>"+971 5xx"</t>
  </si>
  <si>
    <t>Not editable</t>
  </si>
  <si>
    <t>"mary@client.com"</t>
  </si>
  <si>
    <t>"Team Lead"</t>
  </si>
  <si>
    <t>Tap → Contract Details</t>
  </si>
  <si>
    <t>"01 Jan – 31 Dec 2026"</t>
  </si>
  <si>
    <t>Properties</t>
  </si>
  <si>
    <t>Collapsible List</t>
  </si>
  <si>
    <t>"ACME HQ &gt; Lobby"</t>
  </si>
  <si>
    <t>Tap property → area list</t>
  </si>
  <si>
    <t>Areas</t>
  </si>
  <si>
    <t>"Lobby / Parking"</t>
  </si>
  <si>
    <t>"Set as default"</t>
  </si>
  <si>
    <t>Visible only if &gt;1 contract</t>
  </si>
  <si>
    <t>Link → Form</t>
  </si>
  <si>
    <t>Old/new/confirm; server validation</t>
  </si>
  <si>
    <t>Two-Factor Authentication</t>
  </si>
  <si>
    <t>"Enable 2FA (SMS)"</t>
  </si>
  <si>
    <t>OTP verification required</t>
  </si>
  <si>
    <t>Toggles</t>
  </si>
  <si>
    <t>"Tasks / Tickets / Supplies"</t>
  </si>
  <si>
    <t>Per-user preferences</t>
  </si>
  <si>
    <t>"v1.0.3"</t>
  </si>
  <si>
    <t>"View"</t>
  </si>
  <si>
    <t>WebView link</t>
  </si>
  <si>
    <t>Toggles/Links</t>
  </si>
  <si>
    <t>"Large text / High contrast"</t>
  </si>
  <si>
    <t>"Log out"</t>
  </si>
  <si>
    <t>Clear cache; warn if offline data pending</t>
  </si>
  <si>
    <t>Delete Account</t>
  </si>
  <si>
    <t>Not shown to TL</t>
  </si>
  <si>
    <t>"Reassigned Task — 10:15 AM"</t>
  </si>
  <si>
    <t>Read-only audit history</t>
  </si>
  <si>
    <t>Client Contact List</t>
  </si>
  <si>
    <t>Tap-to-call/SMS</t>
  </si>
  <si>
    <t>"Site Rep: +971 5xx"</t>
  </si>
  <si>
    <t>Shortcut if linked to property</t>
  </si>
  <si>
    <t>Accordion/List</t>
  </si>
  <si>
    <t>"How to inspect / Check-in steps"</t>
  </si>
  <si>
    <t>Static content</t>
  </si>
  <si>
    <t>Contact Support CTA</t>
  </si>
  <si>
    <t>"Report an issue"</t>
  </si>
  <si>
    <t>Opens support form</t>
  </si>
  <si>
    <t>Support Form</t>
  </si>
  <si>
    <t>"Describe issue…"</t>
  </si>
  <si>
    <t>Max 100 chars; mandatory</t>
  </si>
  <si>
    <t>"App Issue / Site Issue / Supply / Other"</t>
  </si>
  <si>
    <t>Determines routing to Ops/Admin</t>
  </si>
  <si>
    <t>"Details…"</t>
  </si>
  <si>
    <t>Max 2000 chars; required</t>
  </si>
  <si>
    <t>"Add screenshots"</t>
  </si>
  <si>
    <t>Up to 5 files; up to 5MB each</t>
  </si>
  <si>
    <t>Dropdown / Prefill</t>
  </si>
  <si>
    <t>Auto-filled; editable if TL has &gt;1 contract</t>
  </si>
  <si>
    <t>"ACME HQ - Lobby"</t>
  </si>
  <si>
    <t>Optional field</t>
  </si>
  <si>
    <t>Urgency</t>
  </si>
  <si>
    <t>"Low / Normal / High"</t>
  </si>
  <si>
    <t>HIGH sends alert to Ops</t>
  </si>
  <si>
    <t>"Send to Support"</t>
  </si>
  <si>
    <t>Creates support_ticket entry</t>
  </si>
  <si>
    <t>"SUP-1234 — Open"</t>
  </si>
  <si>
    <t>Filter results by active contract</t>
  </si>
  <si>
    <t>"SUP-1234: App issue"</t>
  </si>
  <si>
    <t>Display ticket metadata</t>
  </si>
  <si>
    <t>Thread</t>
  </si>
  <si>
    <t>Full message history with timestamps</t>
  </si>
  <si>
    <t>Optional; appends to message thread</t>
  </si>
  <si>
    <t>"Upload screenshot"</t>
  </si>
  <si>
    <t>Optional; max file size limit</t>
  </si>
  <si>
    <t>"Close Ticket"</t>
  </si>
  <si>
    <t>Only enabled if user_can_close = true</t>
  </si>
  <si>
    <t>Follows SLA escalation rules</t>
  </si>
  <si>
    <t>Support Notifications</t>
  </si>
  <si>
    <t>"Support replied"</t>
  </si>
  <si>
    <t>Deep link to ticket detail</t>
  </si>
  <si>
    <t>Offline Drafts</t>
  </si>
  <si>
    <t>Auto-save</t>
  </si>
  <si>
    <t>"Draft saved"</t>
  </si>
  <si>
    <t>Added to offline sync queue</t>
  </si>
  <si>
    <t>Security</t>
  </si>
  <si>
    <t>"Do not share passwords"</t>
  </si>
  <si>
    <t>Static compliance warning</t>
  </si>
  <si>
    <t>TEAM LEAD — DETAILED APP FLOW &amp; ACCEPTANCE CRITERIA</t>
  </si>
  <si>
    <t>This is an end-to-end behavioral spec for TL actions, validations, edge cases and QA acceptance checks. Use it for dev acceptance criteria and QA scripts.</t>
  </si>
  <si>
    <t>A. Start / Auth / Contract selection</t>
  </si>
  <si>
    <t>Acceptance:</t>
  </si>
  <si>
    <t>GET /me</t>
  </si>
  <si>
    <t>returns</t>
  </si>
  <si>
    <t>teams[]</t>
  </si>
  <si>
    <t>and</t>
  </si>
  <si>
    <t>contracts[]</t>
  </si>
  <si>
    <t>. TL cannot access contract-scoped menus until a contract is selected.</t>
  </si>
  <si>
    <t>Acceptance: switching contract reloads properties, schedules, team members, SKUs.</t>
  </si>
  <si>
    <t>B. Dashboard (Team Overview)</t>
  </si>
  <si>
    <t>TL sees a top summary (tasks today, open SLA tickets, inspections due). Default filter = TL’s team + Today.</t>
  </si>
  <si>
    <t>Card behaviour:</t>
  </si>
  <si>
    <t>C. Team Tasks / Assign &amp; Reassign</t>
  </si>
  <si>
    <r>
      <t>Assign / Bulk Assign</t>
    </r>
    <r>
      <rPr>
        <sz val="11"/>
        <color theme="1"/>
        <rFont val="Aptos Narrow"/>
        <family val="2"/>
        <scheme val="minor"/>
      </rPr>
      <t>:</t>
    </r>
  </si>
  <si>
    <r>
      <t>Permissions</t>
    </r>
    <r>
      <rPr>
        <sz val="11"/>
        <color theme="1"/>
        <rFont val="Aptos Narrow"/>
        <family val="2"/>
        <scheme val="minor"/>
      </rPr>
      <t>:</t>
    </r>
  </si>
  <si>
    <t>D. Inspections (primary TL function)</t>
  </si>
  <si>
    <r>
      <t>Open Inspection</t>
    </r>
    <r>
      <rPr>
        <sz val="11"/>
        <color theme="1"/>
        <rFont val="Aptos Narrow"/>
        <family val="2"/>
        <scheme val="minor"/>
      </rPr>
      <t>: TL selects inspection task → inspection form loads template published in Admin Console. Template fields can be text, dropdown, rating, photo, signature (if enabled).</t>
    </r>
  </si>
  <si>
    <r>
      <t>Rules</t>
    </r>
    <r>
      <rPr>
        <sz val="11"/>
        <color theme="1"/>
        <rFont val="Aptos Narrow"/>
        <family val="2"/>
        <scheme val="minor"/>
      </rPr>
      <t>:</t>
    </r>
  </si>
  <si>
    <t>score &lt; 4 → auto-ticket (standard 5-day SLA when score ==3; critical 24-hour SLA when score ≤2).</t>
  </si>
  <si>
    <r>
      <t>On Submit</t>
    </r>
    <r>
      <rPr>
        <sz val="11"/>
        <color theme="1"/>
        <rFont val="Aptos Narrow"/>
        <family val="2"/>
        <scheme val="minor"/>
      </rPr>
      <t>:</t>
    </r>
  </si>
  <si>
    <r>
      <t>Acceptance tests</t>
    </r>
    <r>
      <rPr>
        <sz val="11"/>
        <color theme="1"/>
        <rFont val="Aptos Narrow"/>
        <family val="2"/>
        <scheme val="minor"/>
      </rPr>
      <t>:</t>
    </r>
  </si>
  <si>
    <t>E. SLA Ticket lifecycle (TL responsibilities)</t>
  </si>
  <si>
    <t>TL views SLA list filtered by contract and by tickets assigned to TL or TL’s team.</t>
  </si>
  <si>
    <t>TL can:</t>
  </si>
  <si>
    <r>
      <t>SLA alerts</t>
    </r>
    <r>
      <rPr>
        <sz val="11"/>
        <color theme="1"/>
        <rFont val="Aptos Narrow"/>
        <family val="2"/>
        <scheme val="minor"/>
      </rPr>
      <t>:</t>
    </r>
  </si>
  <si>
    <t>F. Site Visits (ad-hoc)</t>
  </si>
  <si>
    <r>
      <t xml:space="preserve">TL can </t>
    </r>
    <r>
      <rPr>
        <b/>
        <sz val="11"/>
        <color theme="1"/>
        <rFont val="Aptos Narrow"/>
        <family val="2"/>
        <scheme val="minor"/>
      </rPr>
      <t>create</t>
    </r>
    <r>
      <rPr>
        <sz val="11"/>
        <color theme="1"/>
        <rFont val="Aptos Narrow"/>
        <family val="2"/>
        <scheme val="minor"/>
      </rPr>
      <t xml:space="preserve"> a Site Visit using fields derived from the Google / Quickbase forms you provided (date, location, type, scope, potential WOs, photos).</t>
    </r>
  </si>
  <si>
    <r>
      <t>Workflow</t>
    </r>
    <r>
      <rPr>
        <sz val="11"/>
        <color theme="1"/>
        <rFont val="Aptos Narrow"/>
        <family val="2"/>
        <scheme val="minor"/>
      </rPr>
      <t>:</t>
    </r>
  </si>
  <si>
    <r>
      <t>Acceptance</t>
    </r>
    <r>
      <rPr>
        <sz val="11"/>
        <color theme="1"/>
        <rFont val="Aptos Narrow"/>
        <family val="2"/>
        <scheme val="minor"/>
      </rPr>
      <t>:</t>
    </r>
  </si>
  <si>
    <t>G. Schedule Engine (TL interaction)</t>
  </si>
  <si>
    <t>TL can create schedule events for their team (subject to Ops Admin policy). For Phase-1 TL can:</t>
  </si>
  <si>
    <r>
      <t>Validation</t>
    </r>
    <r>
      <rPr>
        <sz val="11"/>
        <color theme="1"/>
        <rFont val="Aptos Narrow"/>
        <family val="2"/>
        <scheme val="minor"/>
      </rPr>
      <t>:</t>
    </r>
  </si>
  <si>
    <t>H. Supplies &amp; Inventory</t>
  </si>
  <si>
    <t>TL may submit supply requests for active_contract properties:</t>
  </si>
  <si>
    <r>
      <t>Inventory integration</t>
    </r>
    <r>
      <rPr>
        <sz val="11"/>
        <color theme="1"/>
        <rFont val="Aptos Narrow"/>
        <family val="2"/>
        <scheme val="minor"/>
      </rPr>
      <t xml:space="preserve"> (if enabled): check stock before approval; soft-reserve items.</t>
    </r>
  </si>
  <si>
    <t>I. Offline behavior &amp; sync</t>
  </si>
  <si>
    <t>TL must be able to:</t>
  </si>
  <si>
    <r>
      <t>Sync resolution</t>
    </r>
    <r>
      <rPr>
        <sz val="11"/>
        <color theme="1"/>
        <rFont val="Aptos Narrow"/>
        <family val="2"/>
        <scheme val="minor"/>
      </rPr>
      <t>:</t>
    </r>
  </si>
  <si>
    <t>J. Notifications &amp; Escalation rules</t>
  </si>
  <si>
    <t>Push/in-app/email per user preferences. High-priority tickets and emergency site visits trigger SMS to configured contacts.</t>
  </si>
  <si>
    <t>Escalation follows SLA chain in docs: Technician → TL → Supervisor → Ops Admin → Senior Admin.</t>
  </si>
  <si>
    <t>K. Audit &amp; Compliance</t>
  </si>
  <si>
    <t>Every TL action (assign, reassign, inspect, create visit, escalate, approve supply) creates an audit row with</t>
  </si>
  <si>
    <t>actor_id</t>
  </si>
  <si>
    <t>,</t>
  </si>
  <si>
    <t>action</t>
  </si>
  <si>
    <t>timestamp</t>
  </si>
  <si>
    <t>meta</t>
  </si>
  <si>
    <t>. This is required for compliance &amp; reporting.</t>
  </si>
  <si>
    <t>L. Edge cases &amp; error handling</t>
  </si>
  <si>
    <t>Attempt to assign technician not in contract → blocked with message: “Technician not assigned to this contract.”</t>
  </si>
  <si>
    <t>Attempt to submit inspection without required photo → inline error referencing field name.</t>
  </si>
  <si>
    <t>SLA timer breach while TL offline → on next sync, server marks SLA breached and notifies Ops.</t>
  </si>
  <si>
    <t>Site Visit created with missing mandatory fields (e.g., Type) → block submit.</t>
  </si>
  <si>
    <t>Modules</t>
  </si>
  <si>
    <t>User Management</t>
  </si>
  <si>
    <t>mobile</t>
  </si>
  <si>
    <t>Clinics Management</t>
  </si>
  <si>
    <t>web</t>
  </si>
  <si>
    <t>2 months</t>
  </si>
  <si>
    <t>Vendor Management</t>
  </si>
  <si>
    <t>App Management - Super Admin</t>
  </si>
  <si>
    <t>Data Management</t>
  </si>
  <si>
    <t>Lead Management</t>
  </si>
  <si>
    <t>Campaign/ Promotion Management</t>
  </si>
  <si>
    <t>User Behavioral Recommendation System (AI Assisted)</t>
  </si>
  <si>
    <t>Analytics &amp; Reporting</t>
  </si>
  <si>
    <t>Resource Name</t>
  </si>
  <si>
    <t>Number Of Resources</t>
  </si>
  <si>
    <t>Hours</t>
  </si>
  <si>
    <t>Hybrid Developer - Senior Full Stack</t>
  </si>
  <si>
    <t>Web App - Frontend Full Stack Developer</t>
  </si>
  <si>
    <t>Web App - Backend Senior Laravel Developer</t>
  </si>
  <si>
    <t>Senior Dev Ops</t>
  </si>
  <si>
    <t>Software Testing</t>
  </si>
  <si>
    <t>Senior Data Engineer</t>
  </si>
  <si>
    <t>Data Scientist</t>
  </si>
  <si>
    <t>Total Hours</t>
  </si>
  <si>
    <t>** Deployment to production/ live environment will be handled separately</t>
  </si>
  <si>
    <t>** Above hours are derived based on reusing modules from MVP 1 and hence MVP 2 can be initiate only after completion of MVP 1</t>
  </si>
  <si>
    <t>Hybrid</t>
  </si>
  <si>
    <t>Backend</t>
  </si>
  <si>
    <t>Total</t>
  </si>
  <si>
    <t>Manufacturer Profile &amp; Config</t>
  </si>
  <si>
    <t>Manufacturer</t>
  </si>
  <si>
    <t>Name, Address, Contact Details, Description
Set delivery radius (zip codes)</t>
  </si>
  <si>
    <t>Product Management</t>
  </si>
  <si>
    <t>Create a product
 - name
 - description
 - size (unit size in gm, ml, etc.)
 - price per unit
 - images</t>
  </si>
  <si>
    <t>List all my products</t>
  </si>
  <si>
    <t>Update a product</t>
  </si>
  <si>
    <t>Delete a product</t>
  </si>
  <si>
    <t>Sales</t>
  </si>
  <si>
    <t>View all order received
 - customer details
 - products details
 - total amount
 - payment status
 - payment mode
 - offer applied</t>
  </si>
  <si>
    <t>Mark order status (sold/cancelled)</t>
  </si>
  <si>
    <t>View sales report
 - date wise
 - product wise
 - customer wise</t>
  </si>
  <si>
    <t>View order received notifications</t>
  </si>
  <si>
    <t>Reviews</t>
  </si>
  <si>
    <t>View a list of reviews
 - review text
 - user account
 - ratings
 - timestamp</t>
  </si>
  <si>
    <t>Product List</t>
  </si>
  <si>
    <t>View a list of all products
 - name, short description, image, price, ratings
 - search
 - filter: product type
 - sort
 - scroll pagination
 - Add to cart button</t>
  </si>
  <si>
    <t>View Product Details
 - name, short description, image, price, comparison, reviews &amp; ratings
 - Add to cart button</t>
  </si>
  <si>
    <t>Cart Management</t>
  </si>
  <si>
    <t>Add product to cart</t>
  </si>
  <si>
    <t>View cart
 - products
 - quantity/product
 - price/unit
 - amount/product
 - total product count
 - total amount
 - discount if any
 - tax etc</t>
  </si>
  <si>
    <t>Update product quantity</t>
  </si>
  <si>
    <t>Apply or remove coupons/offers
 - view a list of all offers from the manufacturer</t>
  </si>
  <si>
    <t>Make payment</t>
  </si>
  <si>
    <t>Order Management</t>
  </si>
  <si>
    <t>View my orders</t>
  </si>
  <si>
    <t>Cancel an order
 - reason for cancellation</t>
  </si>
  <si>
    <t>Add product review
 - review text
 - rating from 1 to 5</t>
  </si>
  <si>
    <t>View all my reviews and ratings</t>
  </si>
  <si>
    <t>Order Processing</t>
  </si>
  <si>
    <t>Generate different orders for each manufacturer</t>
  </si>
  <si>
    <t>Integrating common modules from MVP 1</t>
  </si>
  <si>
    <t>All common modules from MVP 1 should be reused in MVP 2, with required adjustments
 - user authentication
 - manufacturer authentication
 - Deals and offers management (manufacturer)
 - Deals and offers view (users)
 - User notifications
 - Manufacturer notifications</t>
  </si>
  <si>
    <t>1. Yelp API integration is not included, as this would be handled at scraper level
2. There are some features, e.g. authentication, deals &amp; offers, notifications, which are not fully estimated here. These will be taken from MVP 1 and adjusted as per requirements.</t>
  </si>
  <si>
    <t>Req?</t>
  </si>
  <si>
    <t>Validate number; check client exists</t>
  </si>
  <si>
    <t>Auth → load client sites + contracts</t>
  </si>
  <si>
    <t>Must exist</t>
  </si>
  <si>
    <t>Validate OTP</t>
  </si>
  <si>
    <t>"Create new password"</t>
  </si>
  <si>
    <t>Min 8 chars</t>
  </si>
  <si>
    <t>Reset Password</t>
  </si>
  <si>
    <t>Service Overview</t>
  </si>
  <si>
    <t>Dashboard Summary</t>
  </si>
  <si>
    <t>Completion %</t>
  </si>
  <si>
    <t>Progress Bar</t>
  </si>
  <si>
    <t>"65% Completed"</t>
  </si>
  <si>
    <t>Auto-calculated</t>
  </si>
  <si>
    <t>Ongoing Tasks</t>
  </si>
  <si>
    <t>"2 tasks in progress"</t>
  </si>
  <si>
    <t>Completed Tasks</t>
  </si>
  <si>
    <t>"12 tasks completed"</t>
  </si>
  <si>
    <t>Last 24 hrs</t>
  </si>
  <si>
    <t>Ongoing Tasks List</t>
  </si>
  <si>
    <t>Task Row</t>
  </si>
  <si>
    <t>"Daily Cleaning — Lobby"</t>
  </si>
  <si>
    <t>Tap → Task Detail (Client View)</t>
  </si>
  <si>
    <t>Start Time</t>
  </si>
  <si>
    <t>"Started: 10:15 AM"</t>
  </si>
  <si>
    <t>Fetched from technician logs</t>
  </si>
  <si>
    <t>"In Progress"</t>
  </si>
  <si>
    <t>Maps task state</t>
  </si>
  <si>
    <t>Task Detail</t>
  </si>
  <si>
    <t>"3/5 Completed"</t>
  </si>
  <si>
    <t>Technician Notes</t>
  </si>
  <si>
    <t>"Floor corners cleaned…"</t>
  </si>
  <si>
    <t>Visible if provided</t>
  </si>
  <si>
    <t>Proof images (read-only)</t>
  </si>
  <si>
    <t>Timestamp</t>
  </si>
  <si>
    <t>"Completed: 11:02 AM"</t>
  </si>
  <si>
    <t>Auto-generated</t>
  </si>
  <si>
    <t>Feedback</t>
  </si>
  <si>
    <t>Submit Feedback</t>
  </si>
  <si>
    <t>Feedback Form</t>
  </si>
  <si>
    <t>Rating (1–5)</t>
  </si>
  <si>
    <t>Star/Number Input</t>
  </si>
  <si>
    <t>"Rate 1–5"</t>
  </si>
  <si>
    <t>Descriptive Rating</t>
  </si>
  <si>
    <t>"Satisfactory / Somewhat Satisfactory / Unsatisfactory"</t>
  </si>
  <si>
    <t>Comments</t>
  </si>
  <si>
    <t>"Describe your concern…"</t>
  </si>
  <si>
    <t>"Add photo/video"</t>
  </si>
  <si>
    <t>Max 5 files</t>
  </si>
  <si>
    <t>"Submit Feedback"</t>
  </si>
  <si>
    <t>Creates feedback record</t>
  </si>
  <si>
    <t>View History</t>
  </si>
  <si>
    <t>Feedback Log</t>
  </si>
  <si>
    <t>Feedback Row</t>
  </si>
  <si>
    <t>"⭐ 3 - Somewhat Satisfactory"</t>
  </si>
  <si>
    <t>Sort by date</t>
  </si>
  <si>
    <t>"Submitted: 3:12 PM"</t>
  </si>
  <si>
    <t>Feedback Detail</t>
  </si>
  <si>
    <t>Rating</t>
  </si>
  <si>
    <t>"3 — Somewhat Satisfactory"</t>
  </si>
  <si>
    <t>If uploaded</t>
  </si>
  <si>
    <t>Filter by client sites</t>
  </si>
  <si>
    <t>"In Progress / Closed"</t>
  </si>
  <si>
    <t>SLA-based</t>
  </si>
  <si>
    <t>"Restroom not cleaned"</t>
  </si>
  <si>
    <t>SLA Progress</t>
  </si>
  <si>
    <t>"2 days remaining"</t>
  </si>
  <si>
    <t>"Reported cleanliness issue"</t>
  </si>
  <si>
    <t>If provided</t>
  </si>
  <si>
    <t>Ticket Actions</t>
  </si>
  <si>
    <t>Reopen Ticket</t>
  </si>
  <si>
    <t>"Reopen Issue"</t>
  </si>
  <si>
    <t>Only if status=Closed</t>
  </si>
  <si>
    <t>Create Sub-Ticket</t>
  </si>
  <si>
    <t>"Report Repeat Issue"</t>
  </si>
  <si>
    <t>Links to Sub-ticket form</t>
  </si>
  <si>
    <t>Sub-Ticket Form</t>
  </si>
  <si>
    <t>"Describe repeat issue…"</t>
  </si>
  <si>
    <t>"Attach proof"</t>
  </si>
  <si>
    <t>"Submit Sub-Ticket"</t>
  </si>
  <si>
    <t>Creates sub-ticket tied to parent</t>
  </si>
  <si>
    <t>SLA</t>
  </si>
  <si>
    <t>SLA Overview</t>
  </si>
  <si>
    <t>SLA List</t>
  </si>
  <si>
    <t>SLA Row</t>
  </si>
  <si>
    <t>"Ticket #123 — 60% remaining"</t>
  </si>
  <si>
    <t>Sorted by severity</t>
  </si>
  <si>
    <t>SLA Detail</t>
  </si>
  <si>
    <t>SLA Countdown</t>
  </si>
  <si>
    <t>"50% — 2.5 days left"</t>
  </si>
  <si>
    <t>Auto-updating</t>
  </si>
  <si>
    <t>Severity</t>
  </si>
  <si>
    <t>"Standard / Critical"</t>
  </si>
  <si>
    <t>Based on inspection score</t>
  </si>
  <si>
    <t>Timeline</t>
  </si>
  <si>
    <t>"Technician updated proof"</t>
  </si>
  <si>
    <t>Read-only history</t>
  </si>
  <si>
    <t>Notification Feed</t>
  </si>
  <si>
    <t>"Your issue is resolved"</t>
  </si>
  <si>
    <t>Deep link to SLA/Task</t>
  </si>
  <si>
    <t>"Today, 2:41 PM"</t>
  </si>
  <si>
    <t>"Veronica Duarte"</t>
  </si>
  <si>
    <t>Editable</t>
  </si>
  <si>
    <t>"(713) 943-6300"</t>
  </si>
  <si>
    <t>Non-editable</t>
  </si>
  <si>
    <t>"veronica@acme.com"</t>
  </si>
  <si>
    <t>Email validation</t>
  </si>
  <si>
    <t>Linked Sites</t>
  </si>
  <si>
    <t>"1155 Edgebrook Dr"</t>
  </si>
  <si>
    <t>"English / Spanish"</t>
  </si>
  <si>
    <t>Changes UI locale</t>
  </si>
  <si>
    <t>"Task updates / SLA updates"</t>
  </si>
  <si>
    <t>Opens WebView</t>
  </si>
  <si>
    <t>Clears client session</t>
  </si>
  <si>
    <t>Help Topics</t>
  </si>
  <si>
    <t>Quick Help</t>
  </si>
  <si>
    <t>"How to submit feedback"</t>
  </si>
  <si>
    <t>Static</t>
  </si>
  <si>
    <t>Contact Support</t>
  </si>
  <si>
    <t>"Explain problem…"</t>
  </si>
  <si>
    <t>"Attach screenshot"</t>
  </si>
  <si>
    <t>"Send"</t>
  </si>
  <si>
    <t>Creates support_ticket</t>
  </si>
  <si>
    <t>Support History</t>
  </si>
  <si>
    <t>"SUP-789 — Closed"</t>
  </si>
  <si>
    <t>Filtered by client</t>
  </si>
  <si>
    <t>Support Detail</t>
  </si>
  <si>
    <t>Replies from Ops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</si>
</sst>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b/>
      <sz val="11"/>
      <color theme="1"/>
      <name val="Aptos Narrow"/>
      <family val="2"/>
      <scheme val="minor"/>
    </font>
    <font>
      <sz val="11"/>
      <color rgb="FFFF0000"/>
      <name val="Aptos Narrow"/>
      <family val="2"/>
      <scheme val="minor"/>
    </font>
    <font>
      <b/>
      <sz val="11"/>
      <color rgb="FFFF0000"/>
      <name val="Aptos Narrow"/>
      <family val="2"/>
      <scheme val="minor"/>
    </font>
    <font>
      <b/>
      <sz val="11"/>
      <color rgb="FF000000"/>
      <name val="Calibri"/>
      <family val="2"/>
    </font>
    <font>
      <sz val="11"/>
      <color rgb="FF000000"/>
      <name val="Calibri"/>
      <family val="2"/>
    </font>
    <font>
      <sz val="11"/>
      <color rgb="FFFF0000"/>
      <name val="Calibri"/>
      <family val="2"/>
    </font>
    <font>
      <b/>
      <sz val="11"/>
      <color rgb="FFFF0000"/>
      <name val="Calibri"/>
      <family val="2"/>
    </font>
    <font>
      <sz val="12"/>
      <color theme="1"/>
      <name val="Times New Roman"/>
      <family val="1"/>
    </font>
    <font>
      <b/>
      <sz val="11"/>
      <color rgb="FF000000"/>
      <name val="Arial"/>
      <family val="2"/>
    </font>
    <font>
      <sz val="11"/>
      <color rgb="FF000000"/>
      <name val="Arial"/>
      <family val="2"/>
    </font>
    <font>
      <b/>
      <sz val="11"/>
      <color theme="1"/>
      <name val="Aptos Narrow"/>
      <scheme val="minor"/>
    </font>
    <font>
      <b/>
      <sz val="11"/>
      <name val="Calibri"/>
      <family val="2"/>
    </font>
    <font>
      <sz val="11"/>
      <name val="Calibri"/>
      <family val="2"/>
    </font>
    <font>
      <sz val="11"/>
      <name val="Aptos Narrow"/>
      <family val="2"/>
      <scheme val="minor"/>
    </font>
    <font>
      <b/>
      <sz val="18"/>
      <color theme="1"/>
      <name val="Aptos Narrow"/>
      <family val="2"/>
      <scheme val="minor"/>
    </font>
    <font>
      <b/>
      <sz val="13.5"/>
      <color theme="1"/>
      <name val="Aptos Narrow"/>
      <family val="2"/>
      <scheme val="minor"/>
    </font>
    <font>
      <b/>
      <sz val="12"/>
      <color theme="1"/>
      <name val="Aptos Narrow"/>
      <family val="2"/>
      <scheme val="minor"/>
    </font>
    <font>
      <u/>
      <sz val="11"/>
      <color theme="10"/>
      <name val="Aptos Narrow"/>
      <family val="2"/>
      <scheme val="minor"/>
    </font>
    <font>
      <b/>
      <sz val="24"/>
      <color theme="1"/>
      <name val="Aptos Narrow"/>
      <family val="2"/>
      <scheme val="minor"/>
    </font>
    <font>
      <b/>
      <sz val="16"/>
      <color theme="1"/>
      <name val="Aptos Narrow"/>
      <family val="2"/>
      <scheme val="minor"/>
    </font>
  </fonts>
  <fills count="18">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rgb="FFF8CBAD"/>
        <bgColor rgb="FF000000"/>
      </patternFill>
    </fill>
    <fill>
      <patternFill patternType="solid">
        <fgColor rgb="FFBDD7EE"/>
        <bgColor rgb="FF000000"/>
      </patternFill>
    </fill>
    <fill>
      <patternFill patternType="solid">
        <fgColor rgb="FFFFE699"/>
        <bgColor rgb="FF000000"/>
      </patternFill>
    </fill>
    <fill>
      <patternFill patternType="solid">
        <fgColor rgb="FFC6E0B4"/>
        <bgColor rgb="FF000000"/>
      </patternFill>
    </fill>
    <fill>
      <patternFill patternType="solid">
        <fgColor rgb="FFEBEEF1"/>
        <bgColor rgb="FF000000"/>
      </patternFill>
    </fill>
    <fill>
      <patternFill patternType="solid">
        <fgColor theme="0"/>
        <bgColor indexed="64"/>
      </patternFill>
    </fill>
    <fill>
      <patternFill patternType="solid">
        <fgColor theme="6" tint="0.79998168889431442"/>
        <bgColor theme="6" tint="0.79998168889431442"/>
      </patternFill>
    </fill>
    <fill>
      <patternFill patternType="solid">
        <fgColor theme="9" tint="0.79998168889431442"/>
        <bgColor theme="9" tint="0.79998168889431442"/>
      </patternFill>
    </fill>
    <fill>
      <patternFill patternType="solid">
        <fgColor theme="0" tint="-0.249977111117893"/>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2" tint="-0.249977111117893"/>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6"/>
      </left>
      <right/>
      <top style="thin">
        <color indexed="64"/>
      </top>
      <bottom/>
      <diagonal/>
    </border>
    <border>
      <left style="thin">
        <color theme="6"/>
      </left>
      <right/>
      <top style="thin">
        <color theme="6"/>
      </top>
      <bottom/>
      <diagonal/>
    </border>
    <border>
      <left style="thin">
        <color theme="6"/>
      </left>
      <right/>
      <top style="thin">
        <color theme="6"/>
      </top>
      <bottom style="thin">
        <color theme="6"/>
      </bottom>
      <diagonal/>
    </border>
    <border>
      <left style="thin">
        <color indexed="64"/>
      </left>
      <right/>
      <top style="thin">
        <color indexed="64"/>
      </top>
      <bottom style="thin">
        <color theme="6"/>
      </bottom>
      <diagonal/>
    </border>
    <border>
      <left style="thin">
        <color indexed="64"/>
      </left>
      <right style="thin">
        <color indexed="64"/>
      </right>
      <top style="thin">
        <color indexed="64"/>
      </top>
      <bottom style="thin">
        <color theme="6"/>
      </bottom>
      <diagonal/>
    </border>
    <border>
      <left style="thin">
        <color theme="9"/>
      </left>
      <right/>
      <top style="thin">
        <color theme="9"/>
      </top>
      <bottom/>
      <diagonal/>
    </border>
    <border>
      <left style="thin">
        <color theme="9"/>
      </left>
      <right style="thin">
        <color theme="9"/>
      </right>
      <top style="thin">
        <color theme="9"/>
      </top>
      <bottom/>
      <diagonal/>
    </border>
    <border>
      <left style="thin">
        <color theme="9"/>
      </left>
      <right/>
      <top style="thin">
        <color theme="9"/>
      </top>
      <bottom style="thin">
        <color theme="9"/>
      </bottom>
      <diagonal/>
    </border>
    <border>
      <left style="thin">
        <color theme="9"/>
      </left>
      <right style="thin">
        <color theme="9"/>
      </right>
      <top style="thin">
        <color theme="9"/>
      </top>
      <bottom style="thin">
        <color theme="9"/>
      </bottom>
      <diagonal/>
    </border>
    <border>
      <left/>
      <right style="thin">
        <color indexed="64"/>
      </right>
      <top/>
      <bottom/>
      <diagonal/>
    </border>
    <border>
      <left/>
      <right/>
      <top/>
      <bottom style="thin">
        <color theme="9"/>
      </bottom>
      <diagonal/>
    </border>
    <border>
      <left/>
      <right style="thin">
        <color indexed="64"/>
      </right>
      <top/>
      <bottom style="thin">
        <color theme="9"/>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right style="thin">
        <color rgb="FF000000"/>
      </right>
      <top/>
      <bottom style="thin">
        <color rgb="FF000000"/>
      </bottom>
      <diagonal/>
    </border>
  </borders>
  <cellStyleXfs count="2">
    <xf numFmtId="0" fontId="0" fillId="0" borderId="0"/>
    <xf numFmtId="0" fontId="18" fillId="0" borderId="0" applyNumberFormat="0" applyFill="0" applyBorder="0" applyAlignment="0" applyProtection="0"/>
  </cellStyleXfs>
  <cellXfs count="164">
    <xf numFmtId="0" fontId="0" fillId="0" borderId="0" xfId="0"/>
    <xf numFmtId="0" fontId="0" fillId="0" borderId="0" xfId="0" applyAlignment="1">
      <alignment wrapText="1"/>
    </xf>
    <xf numFmtId="0" fontId="2" fillId="0" borderId="0" xfId="0" applyFont="1"/>
    <xf numFmtId="0" fontId="2" fillId="0" borderId="0" xfId="0" applyFont="1" applyAlignment="1">
      <alignment wrapText="1"/>
    </xf>
    <xf numFmtId="0" fontId="0" fillId="0" borderId="3" xfId="0" applyBorder="1"/>
    <xf numFmtId="0" fontId="2" fillId="0" borderId="3" xfId="0" applyFont="1" applyBorder="1"/>
    <xf numFmtId="0" fontId="3" fillId="0" borderId="3" xfId="0" applyFont="1" applyBorder="1"/>
    <xf numFmtId="0" fontId="0" fillId="0" borderId="4" xfId="0" applyBorder="1"/>
    <xf numFmtId="0" fontId="1" fillId="2" borderId="5" xfId="0" applyFont="1" applyFill="1" applyBorder="1" applyAlignment="1">
      <alignment horizontal="center"/>
    </xf>
    <xf numFmtId="0" fontId="1" fillId="2" borderId="6" xfId="0" applyFont="1" applyFill="1" applyBorder="1" applyAlignment="1">
      <alignment horizontal="center"/>
    </xf>
    <xf numFmtId="0" fontId="1" fillId="2" borderId="7" xfId="0" applyFont="1" applyFill="1" applyBorder="1" applyAlignment="1">
      <alignment horizontal="center" wrapText="1"/>
    </xf>
    <xf numFmtId="0" fontId="1" fillId="2" borderId="2" xfId="0" applyFont="1" applyFill="1" applyBorder="1" applyAlignment="1">
      <alignment horizontal="center"/>
    </xf>
    <xf numFmtId="0" fontId="0" fillId="3" borderId="3" xfId="0" applyFill="1" applyBorder="1" applyAlignment="1">
      <alignment wrapText="1"/>
    </xf>
    <xf numFmtId="0" fontId="0" fillId="3" borderId="3" xfId="0" applyFill="1" applyBorder="1"/>
    <xf numFmtId="0" fontId="2" fillId="3" borderId="3" xfId="0" applyFont="1" applyFill="1" applyBorder="1"/>
    <xf numFmtId="0" fontId="2" fillId="3" borderId="0" xfId="0" applyFont="1" applyFill="1"/>
    <xf numFmtId="0" fontId="5" fillId="0" borderId="0" xfId="0" applyFont="1"/>
    <xf numFmtId="0" fontId="4" fillId="0" borderId="12" xfId="0" applyFont="1" applyBorder="1" applyAlignment="1">
      <alignment wrapText="1"/>
    </xf>
    <xf numFmtId="0" fontId="5" fillId="0" borderId="12" xfId="0" applyFont="1" applyBorder="1" applyAlignment="1">
      <alignment wrapText="1"/>
    </xf>
    <xf numFmtId="0" fontId="4" fillId="8" borderId="1" xfId="0" applyFont="1" applyFill="1" applyBorder="1"/>
    <xf numFmtId="0" fontId="5" fillId="0" borderId="0" xfId="0" applyFont="1" applyAlignment="1">
      <alignment wrapText="1"/>
    </xf>
    <xf numFmtId="0" fontId="5" fillId="4" borderId="0" xfId="0" applyFont="1" applyFill="1"/>
    <xf numFmtId="0" fontId="4" fillId="8" borderId="8" xfId="0" applyFont="1" applyFill="1" applyBorder="1" applyAlignment="1">
      <alignment wrapText="1"/>
    </xf>
    <xf numFmtId="0" fontId="5" fillId="4" borderId="0" xfId="0" applyFont="1" applyFill="1" applyAlignment="1">
      <alignment wrapText="1"/>
    </xf>
    <xf numFmtId="0" fontId="1" fillId="0" borderId="0" xfId="0" applyFont="1" applyAlignment="1">
      <alignment horizontal="center" vertical="center"/>
    </xf>
    <xf numFmtId="0" fontId="5" fillId="0" borderId="12" xfId="0" applyFont="1" applyBorder="1"/>
    <xf numFmtId="0" fontId="0" fillId="0" borderId="12" xfId="0" applyBorder="1"/>
    <xf numFmtId="0" fontId="5" fillId="4" borderId="12" xfId="0" applyFont="1" applyFill="1" applyBorder="1" applyAlignment="1">
      <alignment wrapText="1"/>
    </xf>
    <xf numFmtId="0" fontId="5" fillId="5" borderId="12" xfId="0" applyFont="1" applyFill="1" applyBorder="1" applyAlignment="1">
      <alignment wrapText="1"/>
    </xf>
    <xf numFmtId="0" fontId="5" fillId="6" borderId="12" xfId="0" applyFont="1" applyFill="1" applyBorder="1" applyAlignment="1">
      <alignment wrapText="1"/>
    </xf>
    <xf numFmtId="0" fontId="5" fillId="7" borderId="12" xfId="0" applyFont="1" applyFill="1" applyBorder="1" applyAlignment="1">
      <alignment wrapText="1"/>
    </xf>
    <xf numFmtId="0" fontId="6" fillId="5" borderId="12" xfId="0" applyFont="1" applyFill="1" applyBorder="1" applyAlignment="1">
      <alignment wrapText="1"/>
    </xf>
    <xf numFmtId="0" fontId="5" fillId="0" borderId="13" xfId="0" applyFont="1" applyBorder="1"/>
    <xf numFmtId="0" fontId="4" fillId="0" borderId="12" xfId="0" applyFont="1" applyBorder="1"/>
    <xf numFmtId="0" fontId="1" fillId="0" borderId="12" xfId="0" applyFont="1" applyBorder="1"/>
    <xf numFmtId="0" fontId="4" fillId="0" borderId="1" xfId="0" applyFont="1" applyBorder="1" applyAlignment="1">
      <alignment horizontal="center" vertical="center"/>
    </xf>
    <xf numFmtId="0" fontId="5" fillId="0" borderId="1" xfId="0" applyFont="1" applyBorder="1" applyAlignment="1">
      <alignment vertical="center"/>
    </xf>
    <xf numFmtId="0" fontId="5" fillId="0" borderId="1" xfId="0" applyFont="1" applyBorder="1" applyAlignment="1">
      <alignment horizontal="center" vertical="center"/>
    </xf>
    <xf numFmtId="0" fontId="0" fillId="0" borderId="1" xfId="0" applyBorder="1"/>
    <xf numFmtId="0" fontId="11" fillId="0" borderId="1" xfId="0" applyFont="1" applyBorder="1"/>
    <xf numFmtId="0" fontId="12" fillId="0" borderId="1" xfId="0" applyFont="1" applyBorder="1"/>
    <xf numFmtId="0" fontId="12" fillId="0" borderId="1" xfId="0" applyFont="1" applyBorder="1" applyAlignment="1">
      <alignment wrapText="1"/>
    </xf>
    <xf numFmtId="0" fontId="13" fillId="0" borderId="1" xfId="0" applyFont="1" applyBorder="1"/>
    <xf numFmtId="0" fontId="13" fillId="0" borderId="1" xfId="0" applyFont="1" applyBorder="1" applyAlignment="1">
      <alignment wrapText="1"/>
    </xf>
    <xf numFmtId="0" fontId="14" fillId="0" borderId="1" xfId="0" applyFont="1" applyBorder="1"/>
    <xf numFmtId="0" fontId="1" fillId="0" borderId="1" xfId="0" applyFont="1" applyBorder="1" applyAlignment="1">
      <alignment vertical="top"/>
    </xf>
    <xf numFmtId="0" fontId="0" fillId="0" borderId="0" xfId="0" applyAlignment="1">
      <alignment vertical="top"/>
    </xf>
    <xf numFmtId="0" fontId="0" fillId="0" borderId="1" xfId="0" applyBorder="1" applyAlignment="1">
      <alignment vertical="top"/>
    </xf>
    <xf numFmtId="0" fontId="4" fillId="0" borderId="1" xfId="0" applyFont="1" applyBorder="1" applyAlignment="1">
      <alignment horizontal="right" vertical="center"/>
    </xf>
    <xf numFmtId="0" fontId="0" fillId="0" borderId="1" xfId="0" applyBorder="1" applyAlignment="1">
      <alignment vertical="top" wrapText="1"/>
    </xf>
    <xf numFmtId="0" fontId="1" fillId="0" borderId="1" xfId="0" applyFont="1" applyBorder="1"/>
    <xf numFmtId="0" fontId="4" fillId="0" borderId="0" xfId="0" applyFont="1" applyAlignment="1">
      <alignment horizontal="center" vertical="center"/>
    </xf>
    <xf numFmtId="0" fontId="11" fillId="0" borderId="0" xfId="0" applyFont="1"/>
    <xf numFmtId="0" fontId="8" fillId="0" borderId="1" xfId="0" applyFont="1" applyBorder="1" applyAlignment="1">
      <alignment wrapText="1"/>
    </xf>
    <xf numFmtId="0" fontId="4" fillId="0" borderId="0" xfId="0" applyFont="1"/>
    <xf numFmtId="0" fontId="0" fillId="0" borderId="1" xfId="0" applyBorder="1" applyAlignment="1">
      <alignment horizontal="right" vertical="center"/>
    </xf>
    <xf numFmtId="0" fontId="0" fillId="9" borderId="0" xfId="0" applyFill="1"/>
    <xf numFmtId="0" fontId="15" fillId="0" borderId="0" xfId="0" applyFont="1"/>
    <xf numFmtId="0" fontId="4" fillId="0" borderId="16" xfId="0" applyFont="1" applyBorder="1" applyAlignment="1">
      <alignment vertical="center" wrapText="1"/>
    </xf>
    <xf numFmtId="0" fontId="9" fillId="0" borderId="16" xfId="0" applyFont="1" applyBorder="1" applyAlignment="1">
      <alignment vertical="center"/>
    </xf>
    <xf numFmtId="0" fontId="9" fillId="0" borderId="15" xfId="0" applyFont="1" applyBorder="1" applyAlignment="1">
      <alignment vertical="center"/>
    </xf>
    <xf numFmtId="0" fontId="5" fillId="10" borderId="17" xfId="0" applyFont="1" applyFill="1" applyBorder="1"/>
    <xf numFmtId="0" fontId="10" fillId="10" borderId="16" xfId="0" applyFont="1" applyFill="1" applyBorder="1" applyAlignment="1">
      <alignment horizontal="right" vertical="center"/>
    </xf>
    <xf numFmtId="0" fontId="0" fillId="10" borderId="15" xfId="0" applyFill="1" applyBorder="1" applyAlignment="1">
      <alignment horizontal="center" vertical="center"/>
    </xf>
    <xf numFmtId="0" fontId="5" fillId="0" borderId="18" xfId="0" applyFont="1" applyBorder="1"/>
    <xf numFmtId="0" fontId="8" fillId="0" borderId="16" xfId="0" applyFont="1" applyBorder="1"/>
    <xf numFmtId="0" fontId="0" fillId="0" borderId="15" xfId="0" applyBorder="1" applyAlignment="1">
      <alignment horizontal="center" vertical="center"/>
    </xf>
    <xf numFmtId="0" fontId="5" fillId="10" borderId="18" xfId="0" applyFont="1" applyFill="1" applyBorder="1"/>
    <xf numFmtId="0" fontId="8" fillId="10" borderId="16" xfId="0" applyFont="1" applyFill="1" applyBorder="1"/>
    <xf numFmtId="0" fontId="10" fillId="0" borderId="16" xfId="0" applyFont="1" applyBorder="1" applyAlignment="1">
      <alignment horizontal="right" vertical="center"/>
    </xf>
    <xf numFmtId="0" fontId="8" fillId="10" borderId="16" xfId="0" applyFont="1" applyFill="1" applyBorder="1" applyAlignment="1">
      <alignment horizontal="right" vertical="center"/>
    </xf>
    <xf numFmtId="0" fontId="8" fillId="0" borderId="16" xfId="0" applyFont="1" applyBorder="1" applyAlignment="1">
      <alignment horizontal="right" vertical="center"/>
    </xf>
    <xf numFmtId="0" fontId="4" fillId="10" borderId="18" xfId="0" applyFont="1" applyFill="1" applyBorder="1"/>
    <xf numFmtId="0" fontId="4" fillId="0" borderId="19" xfId="0" applyFont="1" applyBorder="1"/>
    <xf numFmtId="0" fontId="5" fillId="0" borderId="19" xfId="0" applyFont="1" applyBorder="1"/>
    <xf numFmtId="0" fontId="8" fillId="0" borderId="20" xfId="0" applyFont="1" applyBorder="1" applyAlignment="1">
      <alignment horizontal="right" vertical="center"/>
    </xf>
    <xf numFmtId="0" fontId="0" fillId="0" borderId="21" xfId="0" applyBorder="1" applyAlignment="1">
      <alignment horizontal="center" vertical="center"/>
    </xf>
    <xf numFmtId="0" fontId="15" fillId="0" borderId="22" xfId="0" applyFont="1" applyBorder="1"/>
    <xf numFmtId="0" fontId="15" fillId="0" borderId="23" xfId="0" applyFont="1" applyBorder="1"/>
    <xf numFmtId="0" fontId="0" fillId="0" borderId="22" xfId="0" applyBorder="1"/>
    <xf numFmtId="0" fontId="0" fillId="0" borderId="23" xfId="0" applyBorder="1"/>
    <xf numFmtId="0" fontId="0" fillId="11" borderId="22" xfId="0" applyFill="1" applyBorder="1"/>
    <xf numFmtId="0" fontId="0" fillId="11" borderId="23" xfId="0" applyFill="1" applyBorder="1"/>
    <xf numFmtId="0" fontId="15" fillId="11" borderId="22" xfId="0" applyFont="1" applyFill="1" applyBorder="1"/>
    <xf numFmtId="0" fontId="15" fillId="11" borderId="23" xfId="0" applyFont="1" applyFill="1" applyBorder="1"/>
    <xf numFmtId="0" fontId="15" fillId="3" borderId="22" xfId="0" applyFont="1" applyFill="1" applyBorder="1"/>
    <xf numFmtId="0" fontId="15" fillId="3" borderId="23" xfId="0" applyFont="1" applyFill="1" applyBorder="1"/>
    <xf numFmtId="0" fontId="0" fillId="3" borderId="22" xfId="0" applyFill="1" applyBorder="1"/>
    <xf numFmtId="0" fontId="0" fillId="3" borderId="23" xfId="0" applyFill="1" applyBorder="1"/>
    <xf numFmtId="0" fontId="0" fillId="0" borderId="24" xfId="0" applyBorder="1"/>
    <xf numFmtId="0" fontId="0" fillId="0" borderId="25" xfId="0" applyBorder="1"/>
    <xf numFmtId="0" fontId="17" fillId="0" borderId="22" xfId="0" applyFont="1" applyBorder="1"/>
    <xf numFmtId="0" fontId="17" fillId="0" borderId="23" xfId="0" applyFont="1" applyBorder="1"/>
    <xf numFmtId="0" fontId="0" fillId="0" borderId="0" xfId="0" applyAlignment="1">
      <alignment horizontal="left"/>
    </xf>
    <xf numFmtId="0" fontId="1" fillId="12" borderId="12" xfId="0" applyFont="1" applyFill="1" applyBorder="1"/>
    <xf numFmtId="0" fontId="0" fillId="13" borderId="12" xfId="0" applyFill="1" applyBorder="1"/>
    <xf numFmtId="0" fontId="0" fillId="13" borderId="12" xfId="0" applyFill="1" applyBorder="1" applyAlignment="1">
      <alignment wrapText="1"/>
    </xf>
    <xf numFmtId="0" fontId="1" fillId="13" borderId="12" xfId="0" applyFont="1" applyFill="1" applyBorder="1"/>
    <xf numFmtId="0" fontId="18" fillId="13" borderId="12" xfId="1" applyFill="1" applyBorder="1"/>
    <xf numFmtId="0" fontId="0" fillId="0" borderId="0" xfId="0" applyAlignment="1">
      <alignment vertical="top" wrapText="1"/>
    </xf>
    <xf numFmtId="0" fontId="1" fillId="13" borderId="0" xfId="0" applyFont="1" applyFill="1" applyAlignment="1">
      <alignment horizontal="center" vertical="center"/>
    </xf>
    <xf numFmtId="0" fontId="0" fillId="13" borderId="0" xfId="0" applyFill="1"/>
    <xf numFmtId="0" fontId="20" fillId="0" borderId="0" xfId="0" applyFont="1"/>
    <xf numFmtId="0" fontId="1" fillId="13" borderId="12" xfId="0" applyFont="1" applyFill="1" applyBorder="1" applyAlignment="1">
      <alignment horizontal="center" vertical="center"/>
    </xf>
    <xf numFmtId="0" fontId="1" fillId="13" borderId="12" xfId="0" applyFont="1" applyFill="1" applyBorder="1" applyAlignment="1">
      <alignment horizontal="center"/>
    </xf>
    <xf numFmtId="0" fontId="7" fillId="0" borderId="9" xfId="0" applyFont="1" applyBorder="1" applyAlignment="1">
      <alignment wrapText="1"/>
    </xf>
    <xf numFmtId="0" fontId="7" fillId="0" borderId="10" xfId="0" applyFont="1" applyBorder="1" applyAlignment="1">
      <alignment wrapText="1"/>
    </xf>
    <xf numFmtId="0" fontId="4" fillId="0" borderId="12" xfId="0" applyFont="1" applyBorder="1" applyAlignment="1">
      <alignment horizontal="center"/>
    </xf>
    <xf numFmtId="0" fontId="7" fillId="0" borderId="11" xfId="0" applyFont="1" applyBorder="1" applyAlignment="1">
      <alignment wrapText="1"/>
    </xf>
    <xf numFmtId="0" fontId="1" fillId="13" borderId="13" xfId="0" applyFont="1" applyFill="1" applyBorder="1" applyAlignment="1">
      <alignment horizontal="center" vertical="center"/>
    </xf>
    <xf numFmtId="0" fontId="1" fillId="13" borderId="30" xfId="0" applyFont="1" applyFill="1" applyBorder="1" applyAlignment="1">
      <alignment horizontal="center" vertical="center"/>
    </xf>
    <xf numFmtId="0" fontId="1" fillId="13" borderId="31" xfId="0" applyFont="1" applyFill="1" applyBorder="1" applyAlignment="1">
      <alignment horizontal="center" vertical="center"/>
    </xf>
    <xf numFmtId="0" fontId="4" fillId="0" borderId="14" xfId="0" applyFont="1" applyBorder="1" applyAlignment="1">
      <alignment horizontal="center" vertical="center"/>
    </xf>
    <xf numFmtId="0" fontId="4" fillId="0" borderId="8" xfId="0" applyFont="1" applyBorder="1" applyAlignment="1">
      <alignment horizontal="center" vertical="center"/>
    </xf>
    <xf numFmtId="0" fontId="4" fillId="0" borderId="1" xfId="0" applyFont="1" applyBorder="1" applyAlignment="1">
      <alignment horizontal="center" vertical="center"/>
    </xf>
    <xf numFmtId="0" fontId="2" fillId="0" borderId="9" xfId="0" applyFont="1" applyBorder="1" applyAlignment="1">
      <alignment horizontal="left" vertical="top" wrapText="1"/>
    </xf>
    <xf numFmtId="0" fontId="2" fillId="0" borderId="10" xfId="0" applyFont="1" applyBorder="1" applyAlignment="1">
      <alignment horizontal="left" vertical="top"/>
    </xf>
    <xf numFmtId="0" fontId="1" fillId="13" borderId="12" xfId="0" applyFont="1" applyFill="1" applyBorder="1" applyAlignment="1">
      <alignment horizontal="center" vertical="center"/>
    </xf>
    <xf numFmtId="0" fontId="1" fillId="14" borderId="12" xfId="0" applyFont="1" applyFill="1" applyBorder="1"/>
    <xf numFmtId="0" fontId="0" fillId="0" borderId="0" xfId="0" applyAlignment="1"/>
    <xf numFmtId="0" fontId="19" fillId="0" borderId="0" xfId="0" applyFont="1" applyAlignment="1"/>
    <xf numFmtId="0" fontId="15" fillId="0" borderId="0" xfId="0" applyFont="1" applyAlignment="1"/>
    <xf numFmtId="0" fontId="1" fillId="0" borderId="0" xfId="0" applyFont="1" applyAlignment="1"/>
    <xf numFmtId="0" fontId="0" fillId="0" borderId="0" xfId="0" applyFill="1" applyAlignment="1"/>
    <xf numFmtId="0" fontId="1" fillId="0" borderId="0" xfId="0" applyFont="1" applyFill="1" applyBorder="1" applyAlignment="1">
      <alignment vertical="center"/>
    </xf>
    <xf numFmtId="0" fontId="1" fillId="15" borderId="12" xfId="0" applyFont="1" applyFill="1" applyBorder="1" applyAlignment="1">
      <alignment horizontal="center" vertical="center"/>
    </xf>
    <xf numFmtId="0" fontId="0" fillId="15" borderId="12" xfId="0" applyFill="1" applyBorder="1"/>
    <xf numFmtId="0" fontId="18" fillId="15" borderId="12" xfId="1" applyFill="1" applyBorder="1"/>
    <xf numFmtId="0" fontId="1" fillId="16" borderId="33" xfId="0" applyFont="1" applyFill="1" applyBorder="1" applyAlignment="1">
      <alignment horizontal="center" vertical="center"/>
    </xf>
    <xf numFmtId="0" fontId="1" fillId="17" borderId="0" xfId="0" applyFont="1" applyFill="1"/>
    <xf numFmtId="0" fontId="1" fillId="17" borderId="12" xfId="0" applyFont="1" applyFill="1" applyBorder="1" applyAlignment="1"/>
    <xf numFmtId="0" fontId="1" fillId="17" borderId="12" xfId="0" applyFont="1" applyFill="1" applyBorder="1"/>
    <xf numFmtId="0" fontId="1" fillId="16" borderId="13" xfId="0" applyFont="1" applyFill="1" applyBorder="1" applyAlignment="1">
      <alignment horizontal="center" vertical="center"/>
    </xf>
    <xf numFmtId="0" fontId="0" fillId="16" borderId="12" xfId="0" applyFill="1" applyBorder="1"/>
    <xf numFmtId="0" fontId="1" fillId="16" borderId="30" xfId="0" applyFont="1" applyFill="1" applyBorder="1" applyAlignment="1">
      <alignment horizontal="center" vertical="center"/>
    </xf>
    <xf numFmtId="0" fontId="1" fillId="16" borderId="31" xfId="0" applyFont="1" applyFill="1" applyBorder="1" applyAlignment="1">
      <alignment horizontal="center" vertical="center"/>
    </xf>
    <xf numFmtId="0" fontId="1" fillId="16" borderId="12" xfId="0" applyFont="1" applyFill="1" applyBorder="1" applyAlignment="1">
      <alignment horizontal="center"/>
    </xf>
    <xf numFmtId="0" fontId="18" fillId="16" borderId="12" xfId="1" applyFill="1" applyBorder="1"/>
    <xf numFmtId="0" fontId="1" fillId="16" borderId="12" xfId="0" applyFont="1" applyFill="1" applyBorder="1" applyAlignment="1">
      <alignment horizontal="center" vertical="center"/>
    </xf>
    <xf numFmtId="0" fontId="1" fillId="16" borderId="32" xfId="0" applyFont="1" applyFill="1" applyBorder="1" applyAlignment="1">
      <alignment horizontal="center"/>
    </xf>
    <xf numFmtId="0" fontId="1" fillId="15" borderId="12" xfId="0" applyFont="1" applyFill="1" applyBorder="1"/>
    <xf numFmtId="0" fontId="1" fillId="15" borderId="12" xfId="0" applyFont="1" applyFill="1" applyBorder="1" applyAlignment="1">
      <alignment horizontal="center" vertical="center"/>
    </xf>
    <xf numFmtId="0" fontId="1" fillId="15" borderId="13" xfId="0" applyFont="1" applyFill="1" applyBorder="1" applyAlignment="1">
      <alignment horizontal="center" vertical="center"/>
    </xf>
    <xf numFmtId="0" fontId="1" fillId="15" borderId="30" xfId="0" applyFont="1" applyFill="1" applyBorder="1" applyAlignment="1">
      <alignment horizontal="center" vertical="center"/>
    </xf>
    <xf numFmtId="0" fontId="1" fillId="15" borderId="31" xfId="0" applyFont="1" applyFill="1" applyBorder="1" applyAlignment="1">
      <alignment horizontal="center" vertical="center"/>
    </xf>
    <xf numFmtId="0" fontId="1" fillId="15" borderId="12" xfId="0" applyFont="1" applyFill="1" applyBorder="1" applyAlignment="1">
      <alignment horizontal="center"/>
    </xf>
    <xf numFmtId="0" fontId="1" fillId="0" borderId="13" xfId="0" applyFont="1" applyBorder="1" applyAlignment="1"/>
    <xf numFmtId="0" fontId="1" fillId="12" borderId="29" xfId="0" applyFont="1" applyFill="1" applyBorder="1" applyAlignment="1"/>
    <xf numFmtId="0" fontId="1" fillId="12" borderId="13" xfId="0" applyFont="1" applyFill="1" applyBorder="1" applyAlignment="1"/>
    <xf numFmtId="0" fontId="1" fillId="13" borderId="34" xfId="0" applyFont="1" applyFill="1" applyBorder="1" applyAlignment="1">
      <alignment horizontal="center" vertical="center"/>
    </xf>
    <xf numFmtId="0" fontId="1" fillId="13" borderId="29" xfId="0" applyFont="1" applyFill="1" applyBorder="1" applyAlignment="1">
      <alignment horizontal="center" vertical="center"/>
    </xf>
    <xf numFmtId="0" fontId="1" fillId="13" borderId="33" xfId="0" applyFont="1" applyFill="1" applyBorder="1" applyAlignment="1">
      <alignment horizontal="center" vertical="center"/>
    </xf>
    <xf numFmtId="0" fontId="1" fillId="13" borderId="35" xfId="0" applyFont="1" applyFill="1" applyBorder="1" applyAlignment="1">
      <alignment horizontal="center" vertical="center"/>
    </xf>
    <xf numFmtId="0" fontId="16" fillId="0" borderId="0" xfId="0" applyFont="1" applyAlignment="1"/>
    <xf numFmtId="0" fontId="16" fillId="0" borderId="26" xfId="0" applyFont="1" applyBorder="1" applyAlignment="1"/>
    <xf numFmtId="0" fontId="1" fillId="0" borderId="0" xfId="0" applyFont="1" applyAlignment="1"/>
    <xf numFmtId="0" fontId="1" fillId="0" borderId="26" xfId="0" applyFont="1" applyBorder="1" applyAlignment="1"/>
    <xf numFmtId="0" fontId="1" fillId="0" borderId="27" xfId="0" applyFont="1" applyBorder="1" applyAlignment="1"/>
    <xf numFmtId="0" fontId="1" fillId="0" borderId="28" xfId="0" applyFont="1" applyBorder="1" applyAlignment="1"/>
    <xf numFmtId="0" fontId="20" fillId="0" borderId="0" xfId="0" applyFont="1" applyAlignment="1"/>
    <xf numFmtId="0" fontId="0" fillId="0" borderId="0" xfId="0" applyAlignment="1"/>
    <xf numFmtId="0" fontId="19" fillId="0" borderId="0" xfId="0" applyFont="1" applyAlignment="1"/>
    <xf numFmtId="0" fontId="8" fillId="0" borderId="14" xfId="0" applyFont="1" applyBorder="1" applyAlignment="1"/>
    <xf numFmtId="0" fontId="8" fillId="0" borderId="8" xfId="0" applyFont="1" applyBorder="1" applyAlignment="1"/>
  </cellXfs>
  <cellStyles count="2">
    <cellStyle name="Hyperlink" xfId="1" builtinId="8"/>
    <cellStyle name="Normal" xfId="0" builtinId="0"/>
  </cellStyles>
  <dxfs count="10">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s>
  <tableStyles count="0" defaultTableStyle="TableStyleMedium2" defaultPivotStyle="PivotStyleLight16"/>
  <colors>
    <mruColors>
      <color rgb="FFA13A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4E3F82-F994-4259-99FC-BDE55D0467FD}" name="Table1" displayName="Table1" ref="A1:J64" totalsRowShown="0" headerRowDxfId="9">
  <autoFilter ref="A1:J64" xr:uid="{874E3F82-F994-4259-99FC-BDE55D0467FD}"/>
  <tableColumns count="10">
    <tableColumn id="1" xr3:uid="{5A31E706-F8E1-45DE-B195-8F3913BEC628}" name="Feature" dataDxfId="8"/>
    <tableColumn id="2" xr3:uid="{78A57024-1DBF-4813-8170-654DDEE45B51}" name="As a" dataDxfId="7"/>
    <tableColumn id="3" xr3:uid="{C0515CFB-5BC9-4407-8DA1-47C5C52AB4AC}" name="I need to be able to" dataDxfId="6"/>
    <tableColumn id="4" xr3:uid="{BDA7EB72-2964-4A9E-8B6F-1D69C3F2DF54}" name="Hybrid Dev" dataDxfId="5"/>
    <tableColumn id="5" xr3:uid="{9421A5E5-EEF5-4491-9AB0-3295836007E5}" name="Web App" dataDxfId="4"/>
    <tableColumn id="6" xr3:uid="{0CC09F05-2E58-47AC-AC3B-1741846A668B}" name="Mobile App" dataDxfId="3"/>
    <tableColumn id="7" xr3:uid="{20C52296-B6B9-4844-AAEA-1DDA42F2D86E}" name="Backend Dev"/>
    <tableColumn id="8" xr3:uid="{B02EE8BA-2441-4F95-AF24-C983292DBA1F}" name="QA"/>
    <tableColumn id="9" xr3:uid="{5EF83617-8CC5-4E57-BA6C-FD0239507322}" name="Total (in days)"/>
    <tableColumn id="10" xr3:uid="{C94FE496-9105-4434-8E82-0FC8B5F8763B}" name="Milestone"/>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hyperlink" Target="mailto:john@client.co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mary@client.com"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hyperlink" Target="mailto:veronica@acm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9"/>
  <sheetViews>
    <sheetView zoomScale="90" zoomScaleNormal="90" workbookViewId="0">
      <pane ySplit="1" topLeftCell="B2" activePane="bottomLeft" state="frozen"/>
      <selection pane="bottomLeft" activeCell="C25" sqref="C25"/>
    </sheetView>
  </sheetViews>
  <sheetFormatPr defaultColWidth="8.85546875" defaultRowHeight="14.1"/>
  <cols>
    <col min="2" max="2" width="13" customWidth="1"/>
    <col min="3" max="3" width="97" bestFit="1" customWidth="1"/>
    <col min="4" max="4" width="54.7109375" customWidth="1"/>
    <col min="6" max="6" width="74.28515625" style="1" customWidth="1"/>
    <col min="7" max="7" width="156" bestFit="1" customWidth="1"/>
  </cols>
  <sheetData>
    <row r="1" spans="1:7" ht="14.45" thickBot="1">
      <c r="A1" s="8" t="s">
        <v>0</v>
      </c>
      <c r="B1" s="9" t="s">
        <v>1</v>
      </c>
      <c r="C1" s="9" t="s">
        <v>2</v>
      </c>
      <c r="D1" s="9" t="s">
        <v>3</v>
      </c>
      <c r="E1" s="9" t="s">
        <v>4</v>
      </c>
      <c r="F1" s="10" t="s">
        <v>5</v>
      </c>
      <c r="G1" s="11" t="s">
        <v>6</v>
      </c>
    </row>
    <row r="2" spans="1:7">
      <c r="A2" t="s">
        <v>7</v>
      </c>
      <c r="B2" t="s">
        <v>8</v>
      </c>
      <c r="C2" t="s">
        <v>9</v>
      </c>
      <c r="D2" t="s">
        <v>10</v>
      </c>
      <c r="E2">
        <v>1</v>
      </c>
      <c r="G2" s="4" t="s">
        <v>11</v>
      </c>
    </row>
    <row r="3" spans="1:7" ht="42">
      <c r="A3" t="s">
        <v>12</v>
      </c>
      <c r="B3" t="s">
        <v>8</v>
      </c>
      <c r="C3" t="s">
        <v>13</v>
      </c>
      <c r="D3" t="s">
        <v>14</v>
      </c>
      <c r="E3">
        <v>1</v>
      </c>
      <c r="F3" s="1" t="s">
        <v>15</v>
      </c>
      <c r="G3" s="4" t="s">
        <v>16</v>
      </c>
    </row>
    <row r="4" spans="1:7" ht="42">
      <c r="A4" t="s">
        <v>17</v>
      </c>
      <c r="B4" t="s">
        <v>8</v>
      </c>
      <c r="C4" t="s">
        <v>18</v>
      </c>
      <c r="D4" s="1" t="s">
        <v>19</v>
      </c>
      <c r="E4">
        <v>1</v>
      </c>
      <c r="F4" s="1" t="s">
        <v>20</v>
      </c>
      <c r="G4" s="4" t="s">
        <v>21</v>
      </c>
    </row>
    <row r="5" spans="1:7" ht="27.95">
      <c r="A5" t="s">
        <v>22</v>
      </c>
      <c r="B5" t="s">
        <v>8</v>
      </c>
      <c r="C5" t="s">
        <v>23</v>
      </c>
      <c r="D5" t="s">
        <v>24</v>
      </c>
      <c r="E5">
        <v>1</v>
      </c>
      <c r="G5" s="12" t="s">
        <v>25</v>
      </c>
    </row>
    <row r="6" spans="1:7">
      <c r="A6" t="s">
        <v>26</v>
      </c>
      <c r="B6" t="s">
        <v>8</v>
      </c>
      <c r="C6" t="s">
        <v>27</v>
      </c>
      <c r="D6" t="s">
        <v>28</v>
      </c>
      <c r="E6">
        <v>1</v>
      </c>
      <c r="G6" s="4" t="s">
        <v>29</v>
      </c>
    </row>
    <row r="7" spans="1:7">
      <c r="A7" t="s">
        <v>30</v>
      </c>
      <c r="B7" t="s">
        <v>8</v>
      </c>
      <c r="C7" t="s">
        <v>31</v>
      </c>
      <c r="D7" t="s">
        <v>32</v>
      </c>
      <c r="E7">
        <v>1</v>
      </c>
      <c r="G7" s="4"/>
    </row>
    <row r="8" spans="1:7">
      <c r="A8" t="s">
        <v>33</v>
      </c>
      <c r="B8" t="s">
        <v>8</v>
      </c>
      <c r="C8" t="s">
        <v>34</v>
      </c>
      <c r="D8" t="s">
        <v>35</v>
      </c>
      <c r="E8" s="2">
        <v>3</v>
      </c>
      <c r="F8" s="1" t="s">
        <v>36</v>
      </c>
      <c r="G8" s="13" t="s">
        <v>37</v>
      </c>
    </row>
    <row r="9" spans="1:7" s="2" customFormat="1">
      <c r="A9" s="2" t="s">
        <v>38</v>
      </c>
      <c r="B9" s="2" t="s">
        <v>8</v>
      </c>
      <c r="C9" s="2" t="s">
        <v>39</v>
      </c>
      <c r="D9" s="2" t="s">
        <v>40</v>
      </c>
      <c r="E9" s="2">
        <v>1</v>
      </c>
      <c r="F9" s="3" t="s">
        <v>41</v>
      </c>
      <c r="G9" s="5" t="s">
        <v>42</v>
      </c>
    </row>
    <row r="10" spans="1:7">
      <c r="A10" t="s">
        <v>43</v>
      </c>
      <c r="B10" t="s">
        <v>8</v>
      </c>
      <c r="C10" t="s">
        <v>44</v>
      </c>
      <c r="D10" t="s">
        <v>45</v>
      </c>
      <c r="E10">
        <v>1</v>
      </c>
      <c r="F10" s="1" t="s">
        <v>46</v>
      </c>
      <c r="G10" s="4" t="s">
        <v>47</v>
      </c>
    </row>
    <row r="11" spans="1:7" ht="27.95">
      <c r="A11" t="s">
        <v>48</v>
      </c>
      <c r="B11" t="s">
        <v>8</v>
      </c>
      <c r="C11" t="s">
        <v>49</v>
      </c>
      <c r="D11" t="s">
        <v>50</v>
      </c>
      <c r="E11">
        <v>1</v>
      </c>
      <c r="F11" s="1" t="s">
        <v>51</v>
      </c>
      <c r="G11" s="4" t="s">
        <v>47</v>
      </c>
    </row>
    <row r="12" spans="1:7">
      <c r="A12" t="s">
        <v>52</v>
      </c>
      <c r="B12" t="s">
        <v>8</v>
      </c>
      <c r="C12" t="s">
        <v>53</v>
      </c>
      <c r="D12" t="s">
        <v>54</v>
      </c>
      <c r="E12">
        <v>2</v>
      </c>
      <c r="F12" s="1" t="s">
        <v>55</v>
      </c>
      <c r="G12" s="4" t="s">
        <v>56</v>
      </c>
    </row>
    <row r="13" spans="1:7" ht="27.95">
      <c r="A13" t="s">
        <v>57</v>
      </c>
      <c r="B13" t="s">
        <v>8</v>
      </c>
      <c r="C13" t="s">
        <v>58</v>
      </c>
      <c r="D13" t="s">
        <v>59</v>
      </c>
      <c r="E13">
        <v>1</v>
      </c>
      <c r="F13" s="1" t="s">
        <v>60</v>
      </c>
      <c r="G13" s="5" t="s">
        <v>61</v>
      </c>
    </row>
    <row r="14" spans="1:7">
      <c r="A14" t="s">
        <v>62</v>
      </c>
      <c r="B14" t="s">
        <v>8</v>
      </c>
      <c r="C14" t="s">
        <v>63</v>
      </c>
      <c r="D14" t="s">
        <v>64</v>
      </c>
      <c r="E14">
        <v>1</v>
      </c>
      <c r="G14" s="13" t="s">
        <v>65</v>
      </c>
    </row>
    <row r="15" spans="1:7">
      <c r="A15" t="s">
        <v>66</v>
      </c>
      <c r="B15" t="s">
        <v>8</v>
      </c>
      <c r="C15" t="s">
        <v>67</v>
      </c>
      <c r="D15" t="s">
        <v>68</v>
      </c>
      <c r="E15" t="s">
        <v>69</v>
      </c>
      <c r="F15" s="1" t="s">
        <v>70</v>
      </c>
      <c r="G15" s="14" t="s">
        <v>71</v>
      </c>
    </row>
    <row r="16" spans="1:7" ht="42">
      <c r="A16" t="s">
        <v>72</v>
      </c>
      <c r="B16" t="s">
        <v>8</v>
      </c>
      <c r="C16" t="s">
        <v>73</v>
      </c>
      <c r="D16" t="s">
        <v>74</v>
      </c>
      <c r="E16">
        <v>1</v>
      </c>
      <c r="F16" s="1" t="s">
        <v>75</v>
      </c>
      <c r="G16" s="12" t="s">
        <v>76</v>
      </c>
    </row>
    <row r="17" spans="1:7">
      <c r="A17" t="s">
        <v>77</v>
      </c>
      <c r="B17" t="s">
        <v>8</v>
      </c>
      <c r="C17" t="s">
        <v>78</v>
      </c>
      <c r="D17" t="s">
        <v>79</v>
      </c>
      <c r="E17">
        <v>1</v>
      </c>
      <c r="G17" s="4" t="s">
        <v>80</v>
      </c>
    </row>
    <row r="18" spans="1:7" ht="27.95">
      <c r="A18" t="s">
        <v>81</v>
      </c>
      <c r="B18" t="s">
        <v>8</v>
      </c>
      <c r="C18" t="s">
        <v>82</v>
      </c>
      <c r="D18" t="s">
        <v>83</v>
      </c>
      <c r="E18">
        <v>1</v>
      </c>
      <c r="F18" s="1" t="s">
        <v>84</v>
      </c>
      <c r="G18" s="13" t="s">
        <v>85</v>
      </c>
    </row>
    <row r="19" spans="1:7">
      <c r="A19" t="s">
        <v>86</v>
      </c>
      <c r="B19" t="s">
        <v>8</v>
      </c>
      <c r="C19" t="s">
        <v>87</v>
      </c>
      <c r="D19" t="s">
        <v>88</v>
      </c>
      <c r="E19">
        <v>2</v>
      </c>
      <c r="G19" s="5" t="s">
        <v>89</v>
      </c>
    </row>
    <row r="20" spans="1:7" s="2" customFormat="1">
      <c r="A20" s="2" t="s">
        <v>90</v>
      </c>
      <c r="B20" s="2" t="s">
        <v>8</v>
      </c>
      <c r="C20" s="2" t="s">
        <v>91</v>
      </c>
      <c r="D20" s="2" t="s">
        <v>92</v>
      </c>
      <c r="E20" s="2">
        <v>1</v>
      </c>
      <c r="F20" s="3" t="s">
        <v>93</v>
      </c>
      <c r="G20" s="5" t="s">
        <v>94</v>
      </c>
    </row>
    <row r="21" spans="1:7">
      <c r="A21" t="s">
        <v>95</v>
      </c>
      <c r="B21" t="s">
        <v>8</v>
      </c>
      <c r="C21" t="s">
        <v>96</v>
      </c>
      <c r="D21" t="s">
        <v>97</v>
      </c>
      <c r="E21" t="s">
        <v>69</v>
      </c>
      <c r="G21" s="4" t="s">
        <v>98</v>
      </c>
    </row>
    <row r="22" spans="1:7" ht="27.95">
      <c r="A22" t="s">
        <v>99</v>
      </c>
      <c r="B22" t="s">
        <v>8</v>
      </c>
      <c r="C22" t="s">
        <v>100</v>
      </c>
      <c r="D22" t="s">
        <v>101</v>
      </c>
      <c r="E22">
        <v>2</v>
      </c>
      <c r="F22" s="1" t="s">
        <v>102</v>
      </c>
      <c r="G22" s="4" t="s">
        <v>103</v>
      </c>
    </row>
    <row r="23" spans="1:7">
      <c r="A23" t="s">
        <v>104</v>
      </c>
      <c r="B23" t="s">
        <v>8</v>
      </c>
      <c r="C23" t="s">
        <v>105</v>
      </c>
      <c r="D23" t="s">
        <v>106</v>
      </c>
      <c r="E23" t="s">
        <v>69</v>
      </c>
      <c r="F23" s="1" t="s">
        <v>107</v>
      </c>
      <c r="G23" s="5" t="s">
        <v>108</v>
      </c>
    </row>
    <row r="24" spans="1:7" s="2" customFormat="1">
      <c r="A24" s="2" t="s">
        <v>109</v>
      </c>
      <c r="B24" s="2" t="s">
        <v>8</v>
      </c>
      <c r="C24" s="2" t="s">
        <v>110</v>
      </c>
      <c r="D24" s="2" t="s">
        <v>111</v>
      </c>
      <c r="E24" s="15">
        <v>1</v>
      </c>
      <c r="F24" s="3" t="s">
        <v>112</v>
      </c>
      <c r="G24" s="5" t="s">
        <v>113</v>
      </c>
    </row>
    <row r="25" spans="1:7" s="2" customFormat="1">
      <c r="A25" s="2" t="s">
        <v>114</v>
      </c>
      <c r="B25" s="2" t="s">
        <v>8</v>
      </c>
      <c r="C25" s="2" t="s">
        <v>115</v>
      </c>
      <c r="D25" s="2" t="s">
        <v>116</v>
      </c>
      <c r="E25" s="2">
        <v>3</v>
      </c>
      <c r="F25" s="3" t="s">
        <v>117</v>
      </c>
      <c r="G25" s="5" t="s">
        <v>118</v>
      </c>
    </row>
    <row r="26" spans="1:7" s="2" customFormat="1">
      <c r="A26" s="2" t="s">
        <v>119</v>
      </c>
      <c r="B26" s="2" t="s">
        <v>8</v>
      </c>
      <c r="C26" s="2" t="s">
        <v>120</v>
      </c>
      <c r="D26" s="2" t="s">
        <v>121</v>
      </c>
      <c r="E26" s="2">
        <v>1</v>
      </c>
      <c r="F26" s="3" t="s">
        <v>122</v>
      </c>
      <c r="G26" s="5" t="s">
        <v>123</v>
      </c>
    </row>
    <row r="27" spans="1:7">
      <c r="A27" t="s">
        <v>124</v>
      </c>
      <c r="B27" t="s">
        <v>125</v>
      </c>
      <c r="C27" t="s">
        <v>126</v>
      </c>
      <c r="D27" t="s">
        <v>127</v>
      </c>
      <c r="E27">
        <v>1</v>
      </c>
      <c r="G27" s="4" t="s">
        <v>128</v>
      </c>
    </row>
    <row r="28" spans="1:7">
      <c r="A28" t="s">
        <v>129</v>
      </c>
      <c r="B28" t="s">
        <v>125</v>
      </c>
      <c r="C28" t="s">
        <v>130</v>
      </c>
      <c r="D28" t="s">
        <v>131</v>
      </c>
      <c r="E28">
        <v>1</v>
      </c>
      <c r="F28" s="1" t="s">
        <v>132</v>
      </c>
      <c r="G28" s="5" t="s">
        <v>133</v>
      </c>
    </row>
    <row r="29" spans="1:7">
      <c r="A29" t="s">
        <v>134</v>
      </c>
      <c r="B29" t="s">
        <v>125</v>
      </c>
      <c r="C29" t="s">
        <v>135</v>
      </c>
      <c r="D29" t="s">
        <v>136</v>
      </c>
      <c r="E29">
        <v>1</v>
      </c>
      <c r="G29" s="4" t="s">
        <v>137</v>
      </c>
    </row>
    <row r="30" spans="1:7">
      <c r="A30" t="s">
        <v>138</v>
      </c>
      <c r="B30" t="s">
        <v>125</v>
      </c>
      <c r="C30" t="s">
        <v>139</v>
      </c>
      <c r="D30" t="s">
        <v>140</v>
      </c>
      <c r="E30" t="s">
        <v>69</v>
      </c>
      <c r="F30" s="1" t="s">
        <v>141</v>
      </c>
      <c r="G30" s="5" t="s">
        <v>142</v>
      </c>
    </row>
    <row r="31" spans="1:7" s="2" customFormat="1" ht="27.95">
      <c r="A31" s="2" t="s">
        <v>143</v>
      </c>
      <c r="B31" s="2" t="s">
        <v>125</v>
      </c>
      <c r="C31" s="2" t="s">
        <v>144</v>
      </c>
      <c r="D31" s="2" t="s">
        <v>145</v>
      </c>
      <c r="E31" s="2">
        <v>3</v>
      </c>
      <c r="F31" s="3" t="s">
        <v>146</v>
      </c>
      <c r="G31" s="5" t="s">
        <v>147</v>
      </c>
    </row>
    <row r="32" spans="1:7" s="2" customFormat="1">
      <c r="A32" s="2" t="s">
        <v>148</v>
      </c>
      <c r="B32" s="2" t="s">
        <v>125</v>
      </c>
      <c r="C32" s="2" t="s">
        <v>149</v>
      </c>
      <c r="D32" s="2" t="s">
        <v>150</v>
      </c>
      <c r="E32" s="2">
        <v>3</v>
      </c>
      <c r="F32" s="3" t="s">
        <v>151</v>
      </c>
      <c r="G32" s="6" t="s">
        <v>152</v>
      </c>
    </row>
    <row r="33" spans="1:7" s="2" customFormat="1" ht="27.95">
      <c r="A33" s="2" t="s">
        <v>153</v>
      </c>
      <c r="B33" s="2" t="s">
        <v>125</v>
      </c>
      <c r="C33" s="2" t="s">
        <v>154</v>
      </c>
      <c r="D33" s="2" t="s">
        <v>155</v>
      </c>
      <c r="E33" s="2">
        <v>3</v>
      </c>
      <c r="F33" s="3" t="s">
        <v>156</v>
      </c>
      <c r="G33" s="5" t="s">
        <v>157</v>
      </c>
    </row>
    <row r="34" spans="1:7">
      <c r="A34" t="s">
        <v>158</v>
      </c>
      <c r="B34" t="s">
        <v>125</v>
      </c>
      <c r="C34" t="s">
        <v>159</v>
      </c>
      <c r="D34" t="s">
        <v>160</v>
      </c>
      <c r="E34">
        <v>1</v>
      </c>
      <c r="G34" s="4"/>
    </row>
    <row r="35" spans="1:7">
      <c r="A35" t="s">
        <v>161</v>
      </c>
      <c r="B35" t="s">
        <v>125</v>
      </c>
      <c r="C35" t="s">
        <v>162</v>
      </c>
      <c r="D35" t="s">
        <v>163</v>
      </c>
      <c r="E35" s="2">
        <v>3</v>
      </c>
      <c r="G35" s="4" t="s">
        <v>164</v>
      </c>
    </row>
    <row r="36" spans="1:7">
      <c r="A36" t="s">
        <v>165</v>
      </c>
      <c r="B36" t="s">
        <v>125</v>
      </c>
      <c r="C36" t="s">
        <v>166</v>
      </c>
      <c r="D36" t="s">
        <v>167</v>
      </c>
      <c r="E36">
        <v>1</v>
      </c>
      <c r="G36" s="4"/>
    </row>
    <row r="37" spans="1:7">
      <c r="A37" t="s">
        <v>168</v>
      </c>
      <c r="B37" t="s">
        <v>125</v>
      </c>
      <c r="C37" t="s">
        <v>169</v>
      </c>
      <c r="D37" t="s">
        <v>170</v>
      </c>
      <c r="E37" t="s">
        <v>69</v>
      </c>
      <c r="F37" s="1" t="s">
        <v>171</v>
      </c>
      <c r="G37" s="4"/>
    </row>
    <row r="38" spans="1:7">
      <c r="A38" t="s">
        <v>172</v>
      </c>
      <c r="B38" t="s">
        <v>125</v>
      </c>
      <c r="C38" t="s">
        <v>173</v>
      </c>
      <c r="D38" t="s">
        <v>174</v>
      </c>
      <c r="E38">
        <v>2</v>
      </c>
      <c r="G38" s="4" t="s">
        <v>175</v>
      </c>
    </row>
    <row r="39" spans="1:7">
      <c r="A39" t="s">
        <v>176</v>
      </c>
      <c r="B39" t="s">
        <v>125</v>
      </c>
      <c r="C39" t="s">
        <v>177</v>
      </c>
      <c r="D39" t="s">
        <v>178</v>
      </c>
      <c r="E39">
        <v>1</v>
      </c>
      <c r="G39" s="4" t="s">
        <v>179</v>
      </c>
    </row>
    <row r="40" spans="1:7" s="2" customFormat="1">
      <c r="A40" s="2" t="s">
        <v>180</v>
      </c>
      <c r="B40" s="2" t="s">
        <v>125</v>
      </c>
      <c r="C40" s="2" t="s">
        <v>181</v>
      </c>
      <c r="D40" s="2" t="s">
        <v>182</v>
      </c>
      <c r="E40" s="2">
        <v>1</v>
      </c>
      <c r="F40" s="3"/>
      <c r="G40" s="5" t="s">
        <v>183</v>
      </c>
    </row>
    <row r="41" spans="1:7">
      <c r="A41" t="s">
        <v>184</v>
      </c>
      <c r="B41" t="s">
        <v>125</v>
      </c>
      <c r="C41" t="s">
        <v>185</v>
      </c>
      <c r="D41" t="s">
        <v>186</v>
      </c>
      <c r="E41">
        <v>2</v>
      </c>
      <c r="F41" s="1" t="s">
        <v>187</v>
      </c>
      <c r="G41" s="4"/>
    </row>
    <row r="42" spans="1:7">
      <c r="A42" t="s">
        <v>188</v>
      </c>
      <c r="B42" t="s">
        <v>125</v>
      </c>
      <c r="C42" t="s">
        <v>189</v>
      </c>
      <c r="D42" t="s">
        <v>190</v>
      </c>
      <c r="E42">
        <v>3</v>
      </c>
      <c r="F42" s="1" t="s">
        <v>191</v>
      </c>
      <c r="G42" s="4" t="s">
        <v>192</v>
      </c>
    </row>
    <row r="43" spans="1:7">
      <c r="A43" t="s">
        <v>193</v>
      </c>
      <c r="B43" t="s">
        <v>125</v>
      </c>
      <c r="C43" t="s">
        <v>194</v>
      </c>
      <c r="D43" t="s">
        <v>195</v>
      </c>
      <c r="E43">
        <v>2</v>
      </c>
      <c r="G43" s="4" t="s">
        <v>196</v>
      </c>
    </row>
    <row r="44" spans="1:7">
      <c r="A44" t="s">
        <v>197</v>
      </c>
      <c r="B44" t="s">
        <v>125</v>
      </c>
      <c r="C44" t="s">
        <v>198</v>
      </c>
      <c r="D44" t="s">
        <v>199</v>
      </c>
      <c r="E44" s="2">
        <v>3</v>
      </c>
      <c r="F44" s="1" t="s">
        <v>200</v>
      </c>
      <c r="G44" s="4" t="s">
        <v>201</v>
      </c>
    </row>
    <row r="45" spans="1:7">
      <c r="A45" t="s">
        <v>202</v>
      </c>
      <c r="B45" t="s">
        <v>203</v>
      </c>
      <c r="C45" t="s">
        <v>204</v>
      </c>
      <c r="D45" t="s">
        <v>205</v>
      </c>
      <c r="E45" s="2">
        <v>3</v>
      </c>
      <c r="G45" s="4"/>
    </row>
    <row r="46" spans="1:7">
      <c r="A46" t="s">
        <v>206</v>
      </c>
      <c r="B46" t="s">
        <v>203</v>
      </c>
      <c r="C46" t="s">
        <v>207</v>
      </c>
      <c r="D46" t="s">
        <v>208</v>
      </c>
      <c r="E46" s="2">
        <v>3</v>
      </c>
      <c r="G46" s="4"/>
    </row>
    <row r="47" spans="1:7">
      <c r="A47" t="s">
        <v>209</v>
      </c>
      <c r="B47" t="s">
        <v>203</v>
      </c>
      <c r="C47" t="s">
        <v>210</v>
      </c>
      <c r="D47" t="s">
        <v>211</v>
      </c>
      <c r="E47" s="2">
        <v>3</v>
      </c>
      <c r="G47" s="4"/>
    </row>
    <row r="48" spans="1:7">
      <c r="A48" t="s">
        <v>212</v>
      </c>
      <c r="B48" t="s">
        <v>203</v>
      </c>
      <c r="C48" t="s">
        <v>213</v>
      </c>
      <c r="D48" t="s">
        <v>214</v>
      </c>
      <c r="E48" s="2">
        <v>3</v>
      </c>
      <c r="G48" s="4"/>
    </row>
    <row r="49" spans="1:7" ht="27.95">
      <c r="A49" t="s">
        <v>215</v>
      </c>
      <c r="B49" t="s">
        <v>203</v>
      </c>
      <c r="C49" t="s">
        <v>216</v>
      </c>
      <c r="D49" t="s">
        <v>217</v>
      </c>
      <c r="E49" s="2">
        <v>3</v>
      </c>
      <c r="F49" s="1" t="s">
        <v>218</v>
      </c>
      <c r="G49" s="4" t="s">
        <v>219</v>
      </c>
    </row>
    <row r="50" spans="1:7">
      <c r="A50" t="s">
        <v>220</v>
      </c>
      <c r="B50" t="s">
        <v>203</v>
      </c>
      <c r="C50" t="s">
        <v>221</v>
      </c>
      <c r="D50" t="s">
        <v>222</v>
      </c>
      <c r="E50" s="2">
        <v>3</v>
      </c>
      <c r="G50" s="4"/>
    </row>
    <row r="51" spans="1:7">
      <c r="A51" t="s">
        <v>223</v>
      </c>
      <c r="B51" t="s">
        <v>224</v>
      </c>
      <c r="C51" t="s">
        <v>225</v>
      </c>
      <c r="D51" t="s">
        <v>226</v>
      </c>
      <c r="E51">
        <v>1</v>
      </c>
      <c r="G51" s="4"/>
    </row>
    <row r="52" spans="1:7">
      <c r="A52" t="s">
        <v>227</v>
      </c>
      <c r="B52" t="s">
        <v>224</v>
      </c>
      <c r="C52" t="s">
        <v>228</v>
      </c>
      <c r="D52" t="s">
        <v>229</v>
      </c>
      <c r="E52">
        <v>1</v>
      </c>
      <c r="G52" s="4"/>
    </row>
    <row r="53" spans="1:7">
      <c r="A53" t="s">
        <v>230</v>
      </c>
      <c r="B53" t="s">
        <v>224</v>
      </c>
      <c r="C53" t="s">
        <v>231</v>
      </c>
      <c r="D53" t="s">
        <v>232</v>
      </c>
      <c r="E53">
        <v>2</v>
      </c>
      <c r="G53" s="4"/>
    </row>
    <row r="54" spans="1:7">
      <c r="A54" t="s">
        <v>233</v>
      </c>
      <c r="B54" t="s">
        <v>224</v>
      </c>
      <c r="C54" t="s">
        <v>234</v>
      </c>
      <c r="D54" t="s">
        <v>235</v>
      </c>
      <c r="E54">
        <v>1</v>
      </c>
      <c r="G54" s="4"/>
    </row>
    <row r="55" spans="1:7">
      <c r="A55" t="s">
        <v>236</v>
      </c>
      <c r="B55" t="s">
        <v>224</v>
      </c>
      <c r="C55" t="s">
        <v>237</v>
      </c>
      <c r="D55" t="s">
        <v>238</v>
      </c>
      <c r="E55">
        <v>3</v>
      </c>
      <c r="G55" s="4" t="s">
        <v>239</v>
      </c>
    </row>
    <row r="56" spans="1:7">
      <c r="A56" t="s">
        <v>240</v>
      </c>
      <c r="B56" t="s">
        <v>224</v>
      </c>
      <c r="C56" t="s">
        <v>241</v>
      </c>
      <c r="D56" t="s">
        <v>242</v>
      </c>
      <c r="E56">
        <v>2</v>
      </c>
      <c r="G56" s="4"/>
    </row>
    <row r="57" spans="1:7">
      <c r="A57" t="s">
        <v>243</v>
      </c>
      <c r="B57" t="s">
        <v>224</v>
      </c>
      <c r="C57" t="s">
        <v>244</v>
      </c>
      <c r="D57" t="s">
        <v>245</v>
      </c>
      <c r="E57">
        <v>3</v>
      </c>
      <c r="G57" s="4"/>
    </row>
    <row r="58" spans="1:7">
      <c r="A58" t="s">
        <v>246</v>
      </c>
      <c r="B58" t="s">
        <v>224</v>
      </c>
      <c r="C58" t="s">
        <v>247</v>
      </c>
      <c r="D58" t="s">
        <v>248</v>
      </c>
      <c r="E58" s="2">
        <v>1</v>
      </c>
      <c r="G58" s="4" t="s">
        <v>249</v>
      </c>
    </row>
    <row r="59" spans="1:7" ht="14.45" thickBot="1">
      <c r="A59" t="s">
        <v>250</v>
      </c>
      <c r="B59" t="s">
        <v>224</v>
      </c>
      <c r="C59" t="s">
        <v>251</v>
      </c>
      <c r="D59" t="s">
        <v>252</v>
      </c>
      <c r="E59">
        <v>1</v>
      </c>
      <c r="G59"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8"/>
  <sheetViews>
    <sheetView workbookViewId="0">
      <pane ySplit="1" topLeftCell="A2" activePane="bottomLeft" state="frozen"/>
      <selection pane="bottomLeft" activeCell="C21" sqref="C21"/>
    </sheetView>
  </sheetViews>
  <sheetFormatPr defaultRowHeight="14.1"/>
  <cols>
    <col min="1" max="1" width="25.28515625" bestFit="1" customWidth="1"/>
    <col min="2" max="2" width="12.140625" bestFit="1" customWidth="1"/>
    <col min="3" max="3" width="69.7109375" customWidth="1"/>
    <col min="4" max="4" width="12.7109375" customWidth="1"/>
    <col min="5" max="5" width="14" customWidth="1"/>
    <col min="6" max="6" width="13.5703125" customWidth="1"/>
    <col min="8" max="8" width="16.5703125" customWidth="1"/>
  </cols>
  <sheetData>
    <row r="1" spans="1:8" ht="14.45">
      <c r="A1" s="17" t="s">
        <v>253</v>
      </c>
      <c r="B1" s="17" t="s">
        <v>1</v>
      </c>
      <c r="C1" s="17" t="s">
        <v>2</v>
      </c>
      <c r="D1" s="34" t="s">
        <v>254</v>
      </c>
      <c r="E1" s="34" t="s">
        <v>255</v>
      </c>
      <c r="F1" s="34" t="s">
        <v>256</v>
      </c>
      <c r="G1" s="34" t="s">
        <v>257</v>
      </c>
      <c r="H1" s="34" t="s">
        <v>258</v>
      </c>
    </row>
    <row r="2" spans="1:8" ht="14.45">
      <c r="A2" s="27" t="s">
        <v>259</v>
      </c>
      <c r="B2" s="27" t="s">
        <v>8</v>
      </c>
      <c r="C2" s="27" t="s">
        <v>260</v>
      </c>
      <c r="D2" s="26">
        <v>5</v>
      </c>
      <c r="E2" s="26">
        <v>3</v>
      </c>
      <c r="F2" s="26">
        <v>3</v>
      </c>
      <c r="G2" s="26">
        <f>(D2+E2)*0.25</f>
        <v>2</v>
      </c>
      <c r="H2" s="26">
        <f>SUM(D2:G2)</f>
        <v>13</v>
      </c>
    </row>
    <row r="3" spans="1:8" ht="14.45">
      <c r="A3" s="27" t="s">
        <v>261</v>
      </c>
      <c r="B3" s="27" t="s">
        <v>262</v>
      </c>
      <c r="C3" s="27" t="s">
        <v>263</v>
      </c>
      <c r="D3" s="26"/>
      <c r="E3" s="26"/>
      <c r="F3" s="26"/>
      <c r="G3" s="26"/>
      <c r="H3" s="26"/>
    </row>
    <row r="4" spans="1:8" ht="14.45">
      <c r="A4" s="27" t="s">
        <v>261</v>
      </c>
      <c r="B4" s="27" t="s">
        <v>262</v>
      </c>
      <c r="C4" s="27" t="s">
        <v>264</v>
      </c>
      <c r="D4" s="26"/>
      <c r="E4" s="26"/>
      <c r="F4" s="26"/>
      <c r="G4" s="26"/>
      <c r="H4" s="26"/>
    </row>
    <row r="5" spans="1:8" ht="14.45">
      <c r="A5" s="27" t="s">
        <v>261</v>
      </c>
      <c r="B5" s="27" t="s">
        <v>262</v>
      </c>
      <c r="C5" s="27" t="s">
        <v>265</v>
      </c>
      <c r="D5" s="26"/>
      <c r="E5" s="26"/>
      <c r="F5" s="26"/>
      <c r="G5" s="26"/>
      <c r="H5" s="26"/>
    </row>
    <row r="6" spans="1:8" ht="14.45">
      <c r="A6" s="27" t="s">
        <v>261</v>
      </c>
      <c r="B6" s="27" t="s">
        <v>262</v>
      </c>
      <c r="C6" s="27" t="s">
        <v>266</v>
      </c>
      <c r="D6" s="26"/>
      <c r="E6" s="26"/>
      <c r="F6" s="26"/>
      <c r="G6" s="26"/>
      <c r="H6" s="26"/>
    </row>
    <row r="7" spans="1:8" ht="14.45">
      <c r="A7" s="27" t="s">
        <v>261</v>
      </c>
      <c r="B7" s="27" t="s">
        <v>262</v>
      </c>
      <c r="C7" s="27" t="s">
        <v>267</v>
      </c>
      <c r="D7" s="26"/>
      <c r="E7" s="26"/>
      <c r="F7" s="26"/>
      <c r="G7" s="26"/>
      <c r="H7" s="26"/>
    </row>
    <row r="8" spans="1:8" ht="14.45">
      <c r="A8" s="27" t="s">
        <v>261</v>
      </c>
      <c r="B8" s="27" t="s">
        <v>262</v>
      </c>
      <c r="C8" s="27" t="s">
        <v>268</v>
      </c>
      <c r="D8" s="26"/>
      <c r="E8" s="26"/>
      <c r="F8" s="26"/>
      <c r="G8" s="26"/>
      <c r="H8" s="26"/>
    </row>
    <row r="9" spans="1:8" ht="14.45">
      <c r="A9" s="27" t="s">
        <v>261</v>
      </c>
      <c r="B9" s="27" t="s">
        <v>262</v>
      </c>
      <c r="C9" s="27" t="s">
        <v>269</v>
      </c>
      <c r="D9" s="26"/>
      <c r="E9" s="26"/>
      <c r="F9" s="26"/>
      <c r="G9" s="26"/>
      <c r="H9" s="26"/>
    </row>
    <row r="10" spans="1:8" ht="14.45">
      <c r="A10" s="29" t="s">
        <v>270</v>
      </c>
      <c r="B10" s="29" t="s">
        <v>8</v>
      </c>
      <c r="C10" s="29" t="s">
        <v>271</v>
      </c>
      <c r="D10" s="26">
        <v>8</v>
      </c>
      <c r="E10" s="26">
        <v>1</v>
      </c>
      <c r="F10" s="26">
        <v>3</v>
      </c>
      <c r="G10" s="26">
        <f>(D10+E10)*0.25</f>
        <v>2.25</v>
      </c>
      <c r="H10" s="26">
        <f>SUM(D10:G10)</f>
        <v>14.25</v>
      </c>
    </row>
    <row r="11" spans="1:8" ht="14.45">
      <c r="A11" s="29" t="s">
        <v>261</v>
      </c>
      <c r="B11" s="29" t="s">
        <v>261</v>
      </c>
      <c r="C11" s="29" t="s">
        <v>272</v>
      </c>
      <c r="D11" s="26"/>
      <c r="E11" s="26"/>
      <c r="F11" s="26"/>
      <c r="G11" s="26"/>
      <c r="H11" s="26"/>
    </row>
    <row r="12" spans="1:8" ht="178.5" customHeight="1">
      <c r="A12" s="29" t="s">
        <v>261</v>
      </c>
      <c r="B12" s="29" t="s">
        <v>261</v>
      </c>
      <c r="C12" s="29" t="s">
        <v>273</v>
      </c>
      <c r="D12" s="26"/>
      <c r="E12" s="26"/>
      <c r="F12" s="26"/>
      <c r="G12" s="26"/>
      <c r="H12" s="26"/>
    </row>
    <row r="13" spans="1:8" ht="14.45">
      <c r="A13" s="29" t="s">
        <v>261</v>
      </c>
      <c r="B13" s="29" t="s">
        <v>261</v>
      </c>
      <c r="C13" s="29" t="s">
        <v>274</v>
      </c>
      <c r="D13" s="26"/>
      <c r="E13" s="26"/>
      <c r="F13" s="26"/>
      <c r="G13" s="26"/>
      <c r="H13" s="26"/>
    </row>
    <row r="14" spans="1:8" ht="14.45">
      <c r="A14" s="29" t="s">
        <v>261</v>
      </c>
      <c r="B14" s="29" t="s">
        <v>261</v>
      </c>
      <c r="C14" s="29" t="s">
        <v>275</v>
      </c>
      <c r="D14" s="26"/>
      <c r="E14" s="26"/>
      <c r="F14" s="26"/>
      <c r="G14" s="26"/>
      <c r="H14" s="26"/>
    </row>
    <row r="15" spans="1:8" ht="14.45">
      <c r="A15" s="29" t="s">
        <v>261</v>
      </c>
      <c r="B15" s="29" t="s">
        <v>261</v>
      </c>
      <c r="C15" s="29" t="s">
        <v>276</v>
      </c>
      <c r="D15" s="26"/>
      <c r="E15" s="26"/>
      <c r="F15" s="26"/>
      <c r="G15" s="26"/>
      <c r="H15" s="26"/>
    </row>
    <row r="16" spans="1:8" ht="14.45">
      <c r="A16" s="29" t="s">
        <v>261</v>
      </c>
      <c r="B16" s="29" t="s">
        <v>261</v>
      </c>
      <c r="C16" s="29" t="s">
        <v>277</v>
      </c>
      <c r="D16" s="26"/>
      <c r="E16" s="26"/>
      <c r="F16" s="26"/>
      <c r="G16" s="26"/>
      <c r="H16" s="26"/>
    </row>
    <row r="17" spans="1:8" ht="14.45">
      <c r="A17" s="29" t="s">
        <v>261</v>
      </c>
      <c r="B17" s="29" t="s">
        <v>261</v>
      </c>
      <c r="C17" s="29" t="s">
        <v>278</v>
      </c>
      <c r="D17" s="26"/>
      <c r="E17" s="26"/>
      <c r="F17" s="26"/>
      <c r="G17" s="26"/>
      <c r="H17" s="26"/>
    </row>
    <row r="18" spans="1:8" ht="14.45">
      <c r="A18" s="29" t="s">
        <v>261</v>
      </c>
      <c r="B18" s="29" t="s">
        <v>261</v>
      </c>
      <c r="C18" s="29" t="s">
        <v>279</v>
      </c>
      <c r="D18" s="26"/>
      <c r="E18" s="26"/>
      <c r="F18" s="26"/>
      <c r="G18" s="26"/>
      <c r="H18" s="26"/>
    </row>
    <row r="19" spans="1:8" ht="14.45">
      <c r="A19" s="29" t="s">
        <v>261</v>
      </c>
      <c r="B19" s="29" t="s">
        <v>261</v>
      </c>
      <c r="C19" s="29" t="s">
        <v>280</v>
      </c>
      <c r="D19" s="26"/>
      <c r="E19" s="26"/>
      <c r="F19" s="26"/>
      <c r="G19" s="26"/>
      <c r="H19" s="26"/>
    </row>
    <row r="20" spans="1:8" ht="14.45">
      <c r="A20" s="29"/>
      <c r="B20" s="29"/>
      <c r="C20" s="29" t="s">
        <v>281</v>
      </c>
      <c r="D20" s="26"/>
      <c r="E20" s="26"/>
      <c r="F20" s="26"/>
      <c r="G20" s="26"/>
      <c r="H20" s="26"/>
    </row>
    <row r="21" spans="1:8" ht="14.45">
      <c r="A21" s="30" t="s">
        <v>282</v>
      </c>
      <c r="B21" s="30" t="s">
        <v>8</v>
      </c>
      <c r="C21" s="30" t="s">
        <v>283</v>
      </c>
      <c r="D21" s="26">
        <v>4</v>
      </c>
      <c r="E21" s="26">
        <v>1</v>
      </c>
      <c r="F21" s="26">
        <v>2</v>
      </c>
      <c r="G21" s="26">
        <f>(D21+E21)*0.25</f>
        <v>1.25</v>
      </c>
      <c r="H21" s="26">
        <f>SUM(D21:G21)</f>
        <v>8.25</v>
      </c>
    </row>
    <row r="22" spans="1:8" ht="14.45">
      <c r="A22" s="30" t="s">
        <v>261</v>
      </c>
      <c r="B22" s="30" t="s">
        <v>261</v>
      </c>
      <c r="C22" s="30" t="s">
        <v>284</v>
      </c>
      <c r="D22" s="26"/>
      <c r="E22" s="26"/>
      <c r="F22" s="26"/>
      <c r="G22" s="26"/>
      <c r="H22" s="26"/>
    </row>
    <row r="23" spans="1:8" ht="14.45">
      <c r="A23" s="30" t="s">
        <v>261</v>
      </c>
      <c r="B23" s="30" t="s">
        <v>261</v>
      </c>
      <c r="C23" s="30" t="s">
        <v>285</v>
      </c>
      <c r="D23" s="26"/>
      <c r="E23" s="26"/>
      <c r="F23" s="26"/>
      <c r="G23" s="26"/>
      <c r="H23" s="26"/>
    </row>
    <row r="24" spans="1:8" ht="14.45">
      <c r="A24" s="30" t="s">
        <v>261</v>
      </c>
      <c r="B24" s="30" t="s">
        <v>261</v>
      </c>
      <c r="C24" s="30" t="s">
        <v>286</v>
      </c>
      <c r="D24" s="26"/>
      <c r="E24" s="26"/>
      <c r="F24" s="26"/>
      <c r="G24" s="26"/>
      <c r="H24" s="26"/>
    </row>
    <row r="25" spans="1:8" ht="43.5">
      <c r="A25" s="30" t="s">
        <v>261</v>
      </c>
      <c r="B25" s="30" t="s">
        <v>261</v>
      </c>
      <c r="C25" s="30" t="s">
        <v>287</v>
      </c>
      <c r="D25" s="26"/>
      <c r="E25" s="26"/>
      <c r="F25" s="26"/>
      <c r="G25" s="26"/>
      <c r="H25" s="26"/>
    </row>
    <row r="26" spans="1:8" ht="14.45">
      <c r="A26" s="27" t="s">
        <v>288</v>
      </c>
      <c r="B26" s="27" t="s">
        <v>8</v>
      </c>
      <c r="C26" s="27" t="s">
        <v>289</v>
      </c>
      <c r="D26" s="26">
        <v>4</v>
      </c>
      <c r="E26" s="26">
        <v>1</v>
      </c>
      <c r="F26" s="26">
        <v>2</v>
      </c>
      <c r="G26" s="26">
        <f>(D26+E26)*0.25</f>
        <v>1.25</v>
      </c>
      <c r="H26" s="26">
        <f>SUM(D26:G26)</f>
        <v>8.25</v>
      </c>
    </row>
    <row r="27" spans="1:8" ht="43.5">
      <c r="A27" s="27" t="s">
        <v>261</v>
      </c>
      <c r="B27" s="27" t="s">
        <v>261</v>
      </c>
      <c r="C27" s="27" t="s">
        <v>290</v>
      </c>
      <c r="D27" s="26"/>
      <c r="E27" s="26"/>
      <c r="F27" s="26"/>
      <c r="G27" s="26"/>
      <c r="H27" s="26"/>
    </row>
    <row r="28" spans="1:8" ht="14.45">
      <c r="A28" s="27" t="s">
        <v>261</v>
      </c>
      <c r="B28" s="27" t="s">
        <v>261</v>
      </c>
      <c r="C28" s="27" t="s">
        <v>291</v>
      </c>
      <c r="D28" s="26"/>
      <c r="E28" s="26"/>
      <c r="F28" s="26"/>
      <c r="G28" s="26"/>
      <c r="H28" s="26"/>
    </row>
    <row r="29" spans="1:8" ht="14.45">
      <c r="A29" s="27" t="s">
        <v>261</v>
      </c>
      <c r="B29" s="27" t="s">
        <v>261</v>
      </c>
      <c r="C29" s="27" t="s">
        <v>292</v>
      </c>
      <c r="D29" s="26" t="s">
        <v>293</v>
      </c>
      <c r="E29" s="26"/>
      <c r="F29" s="26"/>
      <c r="G29" s="26"/>
      <c r="H29" s="26"/>
    </row>
    <row r="30" spans="1:8" ht="14.45">
      <c r="A30" s="27" t="s">
        <v>261</v>
      </c>
      <c r="B30" s="27" t="s">
        <v>261</v>
      </c>
      <c r="C30" s="27" t="s">
        <v>294</v>
      </c>
      <c r="D30" s="26" t="s">
        <v>293</v>
      </c>
      <c r="E30" s="26"/>
      <c r="F30" s="26"/>
      <c r="G30" s="26"/>
      <c r="H30" s="26"/>
    </row>
    <row r="31" spans="1:8" ht="14.45">
      <c r="A31" s="27" t="s">
        <v>261</v>
      </c>
      <c r="B31" s="27" t="s">
        <v>261</v>
      </c>
      <c r="C31" s="27" t="s">
        <v>295</v>
      </c>
      <c r="D31" s="26"/>
      <c r="E31" s="26"/>
      <c r="F31" s="26"/>
      <c r="G31" s="26"/>
      <c r="H31" s="26"/>
    </row>
    <row r="32" spans="1:8" ht="87">
      <c r="A32" s="27" t="s">
        <v>261</v>
      </c>
      <c r="B32" s="27" t="s">
        <v>261</v>
      </c>
      <c r="C32" s="27" t="s">
        <v>296</v>
      </c>
      <c r="D32" s="26"/>
      <c r="E32" s="26"/>
      <c r="F32" s="26"/>
      <c r="G32" s="26"/>
      <c r="H32" s="26"/>
    </row>
    <row r="33" spans="1:9" ht="14.45">
      <c r="A33" s="27" t="s">
        <v>297</v>
      </c>
      <c r="B33" s="27" t="s">
        <v>8</v>
      </c>
      <c r="C33" s="27" t="s">
        <v>298</v>
      </c>
      <c r="D33" s="26">
        <v>1</v>
      </c>
      <c r="E33" s="26">
        <v>0</v>
      </c>
      <c r="F33" s="26">
        <v>1</v>
      </c>
      <c r="G33" s="26">
        <f>(D33+E33)*0.25</f>
        <v>0.25</v>
      </c>
      <c r="H33" s="26">
        <f>SUM(D33:G33)</f>
        <v>2.25</v>
      </c>
    </row>
    <row r="34" spans="1:9" ht="14.45">
      <c r="A34" s="27"/>
      <c r="B34" s="27"/>
      <c r="C34" s="27" t="s">
        <v>299</v>
      </c>
      <c r="D34" s="26"/>
      <c r="E34" s="26"/>
      <c r="F34" s="26"/>
      <c r="G34" s="26"/>
      <c r="H34" s="26"/>
    </row>
    <row r="35" spans="1:9" ht="14.45">
      <c r="A35" s="28" t="s">
        <v>300</v>
      </c>
      <c r="B35" s="28" t="s">
        <v>8</v>
      </c>
      <c r="C35" s="28" t="s">
        <v>301</v>
      </c>
      <c r="D35" s="26">
        <v>1</v>
      </c>
      <c r="E35" s="26">
        <v>1</v>
      </c>
      <c r="F35" s="26">
        <v>3</v>
      </c>
      <c r="G35" s="26">
        <v>1</v>
      </c>
      <c r="H35" s="26">
        <f>SUM(D35:G35)</f>
        <v>6</v>
      </c>
    </row>
    <row r="36" spans="1:9" ht="14.45">
      <c r="A36" s="28" t="s">
        <v>261</v>
      </c>
      <c r="B36" s="28" t="s">
        <v>261</v>
      </c>
      <c r="C36" s="28" t="s">
        <v>302</v>
      </c>
      <c r="D36" s="26"/>
      <c r="E36" s="26"/>
      <c r="F36" s="26"/>
      <c r="G36" s="26"/>
      <c r="H36" s="26"/>
    </row>
    <row r="37" spans="1:9" ht="14.45">
      <c r="A37" s="28" t="s">
        <v>261</v>
      </c>
      <c r="B37" s="28" t="s">
        <v>261</v>
      </c>
      <c r="C37" s="28" t="s">
        <v>63</v>
      </c>
      <c r="D37" s="26"/>
      <c r="E37" s="26"/>
      <c r="F37" s="26"/>
      <c r="G37" s="26"/>
      <c r="H37" s="26"/>
    </row>
    <row r="38" spans="1:9" ht="14.45">
      <c r="A38" s="28" t="s">
        <v>261</v>
      </c>
      <c r="B38" s="28" t="s">
        <v>261</v>
      </c>
      <c r="C38" s="28" t="s">
        <v>303</v>
      </c>
      <c r="D38" s="26"/>
      <c r="E38" s="26"/>
      <c r="F38" s="26"/>
      <c r="G38" s="26"/>
      <c r="H38" s="26"/>
    </row>
    <row r="39" spans="1:9" ht="14.45">
      <c r="A39" s="28" t="s">
        <v>261</v>
      </c>
      <c r="B39" s="28" t="s">
        <v>261</v>
      </c>
      <c r="C39" s="28" t="s">
        <v>304</v>
      </c>
      <c r="D39" s="26"/>
      <c r="E39" s="26"/>
      <c r="F39" s="26"/>
      <c r="G39" s="26"/>
      <c r="H39" s="26"/>
    </row>
    <row r="40" spans="1:9" ht="14.45">
      <c r="A40" s="28" t="s">
        <v>261</v>
      </c>
      <c r="B40" s="28" t="s">
        <v>261</v>
      </c>
      <c r="C40" s="28" t="s">
        <v>305</v>
      </c>
      <c r="D40" s="26"/>
      <c r="E40" s="26"/>
      <c r="F40" s="26"/>
      <c r="G40" s="26"/>
      <c r="H40" s="26"/>
    </row>
    <row r="41" spans="1:9" ht="14.45">
      <c r="A41" s="28" t="s">
        <v>261</v>
      </c>
      <c r="B41" s="28" t="s">
        <v>261</v>
      </c>
      <c r="C41" s="28" t="s">
        <v>306</v>
      </c>
      <c r="D41" s="26"/>
      <c r="E41" s="26"/>
      <c r="F41" s="26"/>
      <c r="G41" s="26"/>
      <c r="H41" s="26"/>
    </row>
    <row r="42" spans="1:9" ht="14.45">
      <c r="A42" s="28" t="s">
        <v>261</v>
      </c>
      <c r="B42" s="28" t="s">
        <v>261</v>
      </c>
      <c r="C42" s="28" t="s">
        <v>307</v>
      </c>
      <c r="D42" s="26"/>
      <c r="E42" s="26"/>
      <c r="F42" s="26"/>
      <c r="G42" s="26"/>
      <c r="H42" s="26"/>
    </row>
    <row r="43" spans="1:9" ht="14.45">
      <c r="A43" s="28" t="s">
        <v>261</v>
      </c>
      <c r="B43" s="28" t="s">
        <v>261</v>
      </c>
      <c r="C43" s="28" t="s">
        <v>308</v>
      </c>
      <c r="D43" s="26"/>
      <c r="E43" s="26"/>
      <c r="F43" s="26"/>
      <c r="G43" s="26"/>
      <c r="H43" s="26"/>
    </row>
    <row r="44" spans="1:9" ht="72.599999999999994">
      <c r="A44" s="29" t="s">
        <v>309</v>
      </c>
      <c r="B44" s="29" t="s">
        <v>8</v>
      </c>
      <c r="C44" s="29" t="s">
        <v>310</v>
      </c>
      <c r="D44" s="26">
        <v>2</v>
      </c>
      <c r="E44" s="26">
        <v>0.5</v>
      </c>
      <c r="F44" s="26">
        <v>1</v>
      </c>
      <c r="G44" s="26">
        <f>(D44+E44)*0.25</f>
        <v>0.625</v>
      </c>
      <c r="H44" s="26">
        <f>SUM(D44:G44)</f>
        <v>4.125</v>
      </c>
    </row>
    <row r="45" spans="1:9" ht="14.45">
      <c r="A45" s="29" t="s">
        <v>261</v>
      </c>
      <c r="B45" s="29" t="s">
        <v>261</v>
      </c>
      <c r="C45" s="29" t="s">
        <v>311</v>
      </c>
      <c r="D45" s="26"/>
      <c r="E45" s="26"/>
      <c r="F45" s="26"/>
      <c r="G45" s="26"/>
      <c r="H45" s="26"/>
    </row>
    <row r="46" spans="1:9" ht="14.45">
      <c r="A46" s="30" t="s">
        <v>312</v>
      </c>
      <c r="B46" s="30" t="s">
        <v>261</v>
      </c>
      <c r="C46" s="30" t="s">
        <v>313</v>
      </c>
      <c r="D46" s="26">
        <v>3</v>
      </c>
      <c r="E46" s="26">
        <v>1</v>
      </c>
      <c r="F46" s="26">
        <v>3</v>
      </c>
      <c r="G46" s="26">
        <f>(D46+E46)*0.25</f>
        <v>1</v>
      </c>
      <c r="H46" s="26">
        <f>SUM(D46:G46)</f>
        <v>8</v>
      </c>
      <c r="I46" t="s">
        <v>314</v>
      </c>
    </row>
    <row r="47" spans="1:9" ht="14.45">
      <c r="A47" s="30" t="s">
        <v>261</v>
      </c>
      <c r="B47" s="30" t="s">
        <v>261</v>
      </c>
      <c r="C47" s="30" t="s">
        <v>315</v>
      </c>
      <c r="D47" s="26"/>
      <c r="E47" s="26"/>
      <c r="F47" s="26"/>
      <c r="G47" s="26"/>
      <c r="H47" s="26"/>
      <c r="I47" t="s">
        <v>316</v>
      </c>
    </row>
    <row r="48" spans="1:9" ht="14.45">
      <c r="A48" s="30" t="s">
        <v>261</v>
      </c>
      <c r="B48" s="30" t="s">
        <v>261</v>
      </c>
      <c r="C48" s="30" t="s">
        <v>317</v>
      </c>
      <c r="D48" s="26"/>
      <c r="E48" s="26"/>
      <c r="F48" s="26"/>
      <c r="G48" s="26"/>
      <c r="H48" s="26"/>
    </row>
    <row r="49" spans="1:9" ht="14.45">
      <c r="A49" s="30" t="s">
        <v>261</v>
      </c>
      <c r="B49" s="30" t="s">
        <v>261</v>
      </c>
      <c r="C49" s="30" t="s">
        <v>318</v>
      </c>
      <c r="D49" s="26"/>
      <c r="E49" s="26"/>
      <c r="F49" s="26"/>
      <c r="G49" s="26"/>
      <c r="H49" s="26"/>
    </row>
    <row r="50" spans="1:9" ht="14.45">
      <c r="A50" s="27" t="s">
        <v>319</v>
      </c>
      <c r="B50" s="27" t="s">
        <v>8</v>
      </c>
      <c r="C50" s="27" t="s">
        <v>320</v>
      </c>
      <c r="D50" s="26">
        <v>2</v>
      </c>
      <c r="E50" s="26">
        <v>0.5</v>
      </c>
      <c r="F50" s="26">
        <v>1</v>
      </c>
      <c r="G50" s="26">
        <v>1</v>
      </c>
      <c r="H50" s="26">
        <f>SUM(D50:G50)</f>
        <v>4.5</v>
      </c>
    </row>
    <row r="51" spans="1:9" ht="57.95">
      <c r="A51" s="27" t="s">
        <v>261</v>
      </c>
      <c r="B51" s="27" t="s">
        <v>261</v>
      </c>
      <c r="C51" s="27" t="s">
        <v>321</v>
      </c>
      <c r="D51" s="26"/>
      <c r="E51" s="26"/>
      <c r="F51" s="26"/>
      <c r="G51" s="26"/>
      <c r="H51" s="26"/>
    </row>
    <row r="52" spans="1:9" ht="14.45">
      <c r="A52" s="27" t="s">
        <v>261</v>
      </c>
      <c r="B52" s="27" t="s">
        <v>261</v>
      </c>
      <c r="C52" s="27" t="s">
        <v>322</v>
      </c>
      <c r="D52" s="26"/>
      <c r="E52" s="26"/>
      <c r="F52" s="26"/>
      <c r="G52" s="26"/>
      <c r="H52" s="26"/>
    </row>
    <row r="53" spans="1:9" ht="159.6">
      <c r="A53" s="28" t="s">
        <v>323</v>
      </c>
      <c r="B53" s="28" t="s">
        <v>324</v>
      </c>
      <c r="C53" s="28" t="s">
        <v>325</v>
      </c>
      <c r="D53" s="26">
        <v>2</v>
      </c>
      <c r="E53" s="26">
        <v>10</v>
      </c>
      <c r="F53" s="26">
        <v>3</v>
      </c>
      <c r="G53" s="26">
        <v>3</v>
      </c>
      <c r="H53" s="26">
        <f>SUM(D53:G53)</f>
        <v>18</v>
      </c>
    </row>
    <row r="54" spans="1:9" ht="14.45">
      <c r="A54" s="28" t="s">
        <v>261</v>
      </c>
      <c r="B54" s="28" t="s">
        <v>261</v>
      </c>
      <c r="C54" s="31" t="s">
        <v>326</v>
      </c>
      <c r="D54" s="26" t="s">
        <v>327</v>
      </c>
      <c r="E54" s="26"/>
      <c r="F54" s="26"/>
      <c r="G54" s="26"/>
      <c r="H54" s="26"/>
    </row>
    <row r="55" spans="1:9" ht="14.45">
      <c r="A55" s="28" t="s">
        <v>261</v>
      </c>
      <c r="B55" s="28" t="s">
        <v>261</v>
      </c>
      <c r="C55" s="28" t="s">
        <v>328</v>
      </c>
      <c r="D55" s="26"/>
      <c r="E55" s="26"/>
      <c r="F55" s="26"/>
      <c r="G55" s="26"/>
      <c r="H55" s="26"/>
    </row>
    <row r="56" spans="1:9" ht="14.45">
      <c r="A56" s="28" t="s">
        <v>261</v>
      </c>
      <c r="B56" s="28" t="s">
        <v>261</v>
      </c>
      <c r="C56" s="28" t="s">
        <v>329</v>
      </c>
      <c r="D56" s="26" t="s">
        <v>330</v>
      </c>
      <c r="E56" s="26"/>
      <c r="F56" s="26"/>
      <c r="G56" s="26"/>
      <c r="H56" s="26"/>
    </row>
    <row r="57" spans="1:9" ht="14.45">
      <c r="A57" s="28" t="s">
        <v>261</v>
      </c>
      <c r="B57" s="28" t="s">
        <v>261</v>
      </c>
      <c r="C57" s="28" t="s">
        <v>331</v>
      </c>
      <c r="D57" s="26"/>
      <c r="E57" s="26"/>
      <c r="F57" s="26"/>
      <c r="G57" s="26"/>
      <c r="H57" s="26"/>
    </row>
    <row r="58" spans="1:9" ht="14.45">
      <c r="A58" s="28" t="s">
        <v>261</v>
      </c>
      <c r="B58" s="28" t="s">
        <v>261</v>
      </c>
      <c r="C58" s="28" t="s">
        <v>332</v>
      </c>
      <c r="D58" s="26"/>
      <c r="E58" s="26"/>
      <c r="F58" s="26"/>
      <c r="G58" s="26"/>
      <c r="H58" s="26"/>
    </row>
    <row r="59" spans="1:9" ht="14.45">
      <c r="A59" s="28" t="s">
        <v>261</v>
      </c>
      <c r="B59" s="28" t="s">
        <v>261</v>
      </c>
      <c r="C59" s="28" t="s">
        <v>162</v>
      </c>
      <c r="D59" s="26"/>
      <c r="E59" s="26"/>
      <c r="F59" s="26"/>
      <c r="G59" s="26"/>
      <c r="H59" s="26"/>
    </row>
    <row r="60" spans="1:9" ht="14.45">
      <c r="A60" s="29" t="s">
        <v>333</v>
      </c>
      <c r="B60" s="29" t="s">
        <v>324</v>
      </c>
      <c r="C60" s="29" t="s">
        <v>334</v>
      </c>
      <c r="D60" s="26">
        <v>5</v>
      </c>
      <c r="E60" s="26">
        <v>1</v>
      </c>
      <c r="F60" s="26">
        <v>3</v>
      </c>
      <c r="G60" s="26">
        <f>(D60+E60)*0.25</f>
        <v>1.5</v>
      </c>
      <c r="H60" s="26">
        <f>SUM(D60:G60)</f>
        <v>10.5</v>
      </c>
      <c r="I60" t="s">
        <v>335</v>
      </c>
    </row>
    <row r="61" spans="1:9" ht="14.45">
      <c r="A61" s="29" t="s">
        <v>261</v>
      </c>
      <c r="B61" s="29" t="s">
        <v>261</v>
      </c>
      <c r="C61" s="29" t="s">
        <v>336</v>
      </c>
      <c r="D61" s="26"/>
      <c r="E61" s="26"/>
      <c r="F61" s="26"/>
      <c r="G61" s="26"/>
      <c r="H61" s="26"/>
    </row>
    <row r="62" spans="1:9" ht="14.45">
      <c r="A62" s="29" t="s">
        <v>261</v>
      </c>
      <c r="B62" s="29" t="s">
        <v>261</v>
      </c>
      <c r="C62" s="29" t="s">
        <v>337</v>
      </c>
      <c r="D62" s="26"/>
      <c r="E62" s="26"/>
      <c r="F62" s="26"/>
      <c r="G62" s="26"/>
      <c r="H62" s="26"/>
      <c r="I62" t="s">
        <v>338</v>
      </c>
    </row>
    <row r="63" spans="1:9" ht="14.45">
      <c r="A63" s="29" t="s">
        <v>261</v>
      </c>
      <c r="B63" s="29" t="s">
        <v>261</v>
      </c>
      <c r="C63" s="29" t="s">
        <v>339</v>
      </c>
      <c r="D63" s="26"/>
      <c r="E63" s="26"/>
      <c r="F63" s="26"/>
      <c r="G63" s="26"/>
      <c r="H63" s="26"/>
    </row>
    <row r="64" spans="1:9" ht="57.95">
      <c r="A64" s="29" t="s">
        <v>261</v>
      </c>
      <c r="B64" s="29" t="s">
        <v>261</v>
      </c>
      <c r="C64" s="29" t="s">
        <v>340</v>
      </c>
      <c r="D64" s="26"/>
      <c r="E64" s="26"/>
      <c r="F64" s="26"/>
      <c r="G64" s="26"/>
      <c r="H64" s="26"/>
    </row>
    <row r="65" spans="1:8" ht="43.5">
      <c r="A65" s="29" t="s">
        <v>261</v>
      </c>
      <c r="B65" s="29" t="s">
        <v>261</v>
      </c>
      <c r="C65" s="29" t="s">
        <v>341</v>
      </c>
      <c r="D65" s="26"/>
      <c r="E65" s="26"/>
      <c r="F65" s="26"/>
      <c r="G65" s="26"/>
      <c r="H65" s="26"/>
    </row>
    <row r="66" spans="1:8" ht="29.1">
      <c r="A66" s="29" t="s">
        <v>261</v>
      </c>
      <c r="B66" s="29" t="s">
        <v>261</v>
      </c>
      <c r="C66" s="29" t="s">
        <v>342</v>
      </c>
      <c r="D66" s="26"/>
      <c r="E66" s="26"/>
      <c r="F66" s="26"/>
      <c r="G66" s="26"/>
      <c r="H66" s="26"/>
    </row>
    <row r="67" spans="1:8" ht="72.599999999999994">
      <c r="A67" s="30" t="s">
        <v>343</v>
      </c>
      <c r="B67" s="30" t="s">
        <v>324</v>
      </c>
      <c r="C67" s="30" t="s">
        <v>344</v>
      </c>
      <c r="D67" s="26">
        <v>1</v>
      </c>
      <c r="E67" s="26">
        <v>3</v>
      </c>
      <c r="F67" s="26">
        <v>1</v>
      </c>
      <c r="G67" s="26">
        <f>(D67+E67)*0.25</f>
        <v>1</v>
      </c>
      <c r="H67" s="26">
        <f>SUM(D67:G67)</f>
        <v>6</v>
      </c>
    </row>
    <row r="68" spans="1:8" ht="14.45">
      <c r="A68" s="30" t="s">
        <v>261</v>
      </c>
      <c r="B68" s="30" t="s">
        <v>261</v>
      </c>
      <c r="C68" s="30" t="s">
        <v>345</v>
      </c>
      <c r="D68" s="26"/>
      <c r="E68" s="26"/>
      <c r="F68" s="26"/>
      <c r="G68" s="26"/>
      <c r="H68" s="26"/>
    </row>
    <row r="69" spans="1:8" ht="14.45">
      <c r="A69" s="30" t="s">
        <v>261</v>
      </c>
      <c r="B69" s="30" t="s">
        <v>261</v>
      </c>
      <c r="C69" s="30" t="s">
        <v>346</v>
      </c>
      <c r="D69" s="26"/>
      <c r="E69" s="26"/>
      <c r="F69" s="26"/>
      <c r="G69" s="26"/>
      <c r="H69" s="26"/>
    </row>
    <row r="70" spans="1:8" ht="14.45">
      <c r="A70" s="30" t="s">
        <v>261</v>
      </c>
      <c r="B70" s="30" t="s">
        <v>261</v>
      </c>
      <c r="C70" s="30" t="s">
        <v>347</v>
      </c>
      <c r="D70" s="26"/>
      <c r="E70" s="26"/>
      <c r="F70" s="26"/>
      <c r="G70" s="26"/>
      <c r="H70" s="26"/>
    </row>
    <row r="71" spans="1:8" ht="29.1">
      <c r="A71" s="30" t="s">
        <v>261</v>
      </c>
      <c r="B71" s="30" t="s">
        <v>261</v>
      </c>
      <c r="C71" s="30" t="s">
        <v>348</v>
      </c>
      <c r="D71" s="26"/>
      <c r="E71" s="26"/>
      <c r="F71" s="26"/>
      <c r="G71" s="26"/>
      <c r="H71" s="26"/>
    </row>
    <row r="72" spans="1:8" ht="14.45">
      <c r="A72" s="18" t="s">
        <v>349</v>
      </c>
      <c r="B72" s="25" t="s">
        <v>125</v>
      </c>
      <c r="C72" s="25" t="s">
        <v>185</v>
      </c>
      <c r="D72" s="25">
        <v>0.5</v>
      </c>
      <c r="E72" s="25">
        <v>2</v>
      </c>
      <c r="F72" s="25">
        <v>2</v>
      </c>
      <c r="G72" s="25">
        <v>1</v>
      </c>
      <c r="H72" s="25">
        <v>5.5</v>
      </c>
    </row>
    <row r="73" spans="1:8" ht="14.45">
      <c r="A73" s="18" t="s">
        <v>261</v>
      </c>
      <c r="B73" s="25" t="s">
        <v>224</v>
      </c>
      <c r="C73" s="18" t="s">
        <v>241</v>
      </c>
      <c r="D73" s="25">
        <v>0</v>
      </c>
      <c r="E73" s="25">
        <v>12</v>
      </c>
      <c r="F73" s="25">
        <v>5</v>
      </c>
      <c r="G73" s="25">
        <v>3</v>
      </c>
      <c r="H73" s="25">
        <v>20</v>
      </c>
    </row>
    <row r="74" spans="1:8" ht="14.45">
      <c r="A74" s="18" t="s">
        <v>261</v>
      </c>
      <c r="B74" s="25"/>
      <c r="C74" s="18" t="s">
        <v>350</v>
      </c>
      <c r="D74" s="25"/>
      <c r="E74" s="25"/>
      <c r="F74" s="25"/>
      <c r="G74" s="25"/>
      <c r="H74" s="25"/>
    </row>
    <row r="75" spans="1:8" ht="14.45">
      <c r="A75" s="25"/>
      <c r="B75" s="25"/>
      <c r="C75" s="25" t="s">
        <v>351</v>
      </c>
      <c r="D75" s="25"/>
      <c r="E75" s="25"/>
      <c r="F75" s="25"/>
      <c r="G75" s="25"/>
      <c r="H75" s="25"/>
    </row>
    <row r="76" spans="1:8" ht="14.45">
      <c r="A76" s="25"/>
      <c r="B76" s="25"/>
      <c r="C76" s="25" t="s">
        <v>352</v>
      </c>
      <c r="D76" s="32"/>
      <c r="E76" s="32"/>
      <c r="F76" s="32"/>
      <c r="G76" s="32"/>
      <c r="H76" s="32"/>
    </row>
    <row r="77" spans="1:8" ht="14.45">
      <c r="A77" s="16"/>
      <c r="B77" s="16"/>
      <c r="C77" s="16"/>
      <c r="D77" s="107" t="s">
        <v>353</v>
      </c>
      <c r="E77" s="107"/>
      <c r="F77" s="107"/>
      <c r="G77" s="107"/>
      <c r="H77" s="33">
        <f>SUM(H2:H76)</f>
        <v>128.625</v>
      </c>
    </row>
    <row r="78" spans="1:8" ht="210" customHeight="1">
      <c r="A78" s="105" t="s">
        <v>354</v>
      </c>
      <c r="B78" s="106"/>
      <c r="C78" s="106"/>
    </row>
  </sheetData>
  <mergeCells count="2">
    <mergeCell ref="A78:C78"/>
    <mergeCell ref="D77:G7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1"/>
  <sheetViews>
    <sheetView workbookViewId="0"/>
  </sheetViews>
  <sheetFormatPr defaultRowHeight="14.1"/>
  <cols>
    <col min="1" max="1" width="14.85546875" bestFit="1" customWidth="1"/>
    <col min="2" max="2" width="79" style="1" customWidth="1"/>
  </cols>
  <sheetData>
    <row r="1" spans="1:2" ht="14.45">
      <c r="A1" s="40" t="s">
        <v>1</v>
      </c>
      <c r="B1" s="41" t="s">
        <v>355</v>
      </c>
    </row>
    <row r="2" spans="1:2" ht="14.45">
      <c r="A2" s="42" t="s">
        <v>8</v>
      </c>
      <c r="B2" s="43" t="s">
        <v>115</v>
      </c>
    </row>
    <row r="3" spans="1:2" ht="14.45">
      <c r="A3" s="42" t="s">
        <v>8</v>
      </c>
      <c r="B3" s="43" t="s">
        <v>120</v>
      </c>
    </row>
    <row r="4" spans="1:2" ht="87">
      <c r="A4" s="42" t="s">
        <v>125</v>
      </c>
      <c r="B4" s="43" t="s">
        <v>356</v>
      </c>
    </row>
    <row r="5" spans="1:2" ht="29.1">
      <c r="A5" s="42" t="s">
        <v>125</v>
      </c>
      <c r="B5" s="43" t="s">
        <v>357</v>
      </c>
    </row>
    <row r="6" spans="1:2" ht="14.45">
      <c r="A6" s="42" t="s">
        <v>125</v>
      </c>
      <c r="B6" s="43" t="s">
        <v>169</v>
      </c>
    </row>
    <row r="7" spans="1:2" ht="14.45">
      <c r="A7" s="42" t="s">
        <v>125</v>
      </c>
      <c r="B7" s="43" t="s">
        <v>181</v>
      </c>
    </row>
    <row r="8" spans="1:2" ht="14.45">
      <c r="A8" s="42" t="s">
        <v>125</v>
      </c>
      <c r="B8" s="43" t="s">
        <v>189</v>
      </c>
    </row>
    <row r="9" spans="1:2" ht="43.5">
      <c r="A9" s="42" t="s">
        <v>261</v>
      </c>
      <c r="B9" s="43" t="s">
        <v>358</v>
      </c>
    </row>
    <row r="10" spans="1:2" ht="14.45">
      <c r="A10" s="42" t="s">
        <v>261</v>
      </c>
      <c r="B10" s="43" t="s">
        <v>359</v>
      </c>
    </row>
    <row r="11" spans="1:2" ht="14.45">
      <c r="A11" s="42" t="s">
        <v>261</v>
      </c>
      <c r="B11" s="43" t="s">
        <v>360</v>
      </c>
    </row>
    <row r="12" spans="1:2" ht="14.45">
      <c r="A12" s="42" t="s">
        <v>261</v>
      </c>
      <c r="B12" s="43" t="s">
        <v>361</v>
      </c>
    </row>
    <row r="13" spans="1:2" ht="14.45">
      <c r="A13" s="42" t="s">
        <v>261</v>
      </c>
      <c r="B13" s="43" t="s">
        <v>362</v>
      </c>
    </row>
    <row r="14" spans="1:2" ht="29.1">
      <c r="A14" s="42" t="s">
        <v>125</v>
      </c>
      <c r="B14" s="43" t="s">
        <v>194</v>
      </c>
    </row>
    <row r="15" spans="1:2" ht="72.599999999999994">
      <c r="A15" s="42" t="s">
        <v>261</v>
      </c>
      <c r="B15" s="43" t="s">
        <v>363</v>
      </c>
    </row>
    <row r="16" spans="1:2" ht="14.45">
      <c r="A16" s="42" t="s">
        <v>261</v>
      </c>
      <c r="B16" s="43" t="s">
        <v>364</v>
      </c>
    </row>
    <row r="17" spans="1:2" ht="14.45">
      <c r="A17" s="42" t="s">
        <v>261</v>
      </c>
      <c r="B17" s="43" t="s">
        <v>365</v>
      </c>
    </row>
    <row r="18" spans="1:2" ht="14.45">
      <c r="A18" s="42" t="s">
        <v>261</v>
      </c>
      <c r="B18" s="43" t="s">
        <v>366</v>
      </c>
    </row>
    <row r="19" spans="1:2" ht="14.45">
      <c r="A19" s="42" t="s">
        <v>261</v>
      </c>
      <c r="B19" s="43" t="s">
        <v>367</v>
      </c>
    </row>
    <row r="20" spans="1:2" ht="14.45">
      <c r="A20" s="42" t="s">
        <v>261</v>
      </c>
      <c r="B20" s="43" t="s">
        <v>368</v>
      </c>
    </row>
    <row r="21" spans="1:2" ht="14.45">
      <c r="A21" s="42" t="s">
        <v>261</v>
      </c>
      <c r="B21" s="43" t="s">
        <v>369</v>
      </c>
    </row>
    <row r="22" spans="1:2" ht="14.45">
      <c r="A22" s="42" t="s">
        <v>261</v>
      </c>
      <c r="B22" s="43" t="s">
        <v>370</v>
      </c>
    </row>
    <row r="23" spans="1:2" ht="14.45">
      <c r="A23" s="42" t="s">
        <v>261</v>
      </c>
      <c r="B23" s="43" t="s">
        <v>371</v>
      </c>
    </row>
    <row r="24" spans="1:2" ht="14.45">
      <c r="A24" s="42" t="s">
        <v>261</v>
      </c>
      <c r="B24" s="43" t="s">
        <v>372</v>
      </c>
    </row>
    <row r="25" spans="1:2" ht="14.45">
      <c r="A25" s="42" t="s">
        <v>261</v>
      </c>
      <c r="B25" s="43" t="s">
        <v>373</v>
      </c>
    </row>
    <row r="26" spans="1:2" ht="14.45">
      <c r="A26" s="42" t="s">
        <v>261</v>
      </c>
      <c r="B26" s="43" t="s">
        <v>374</v>
      </c>
    </row>
    <row r="27" spans="1:2" ht="14.45">
      <c r="A27" s="42" t="s">
        <v>125</v>
      </c>
      <c r="B27" s="43" t="s">
        <v>198</v>
      </c>
    </row>
    <row r="28" spans="1:2" ht="14.45">
      <c r="A28" s="42" t="s">
        <v>203</v>
      </c>
      <c r="B28" s="43" t="s">
        <v>375</v>
      </c>
    </row>
    <row r="29" spans="1:2" ht="14.45">
      <c r="A29" s="42"/>
      <c r="B29" s="43" t="s">
        <v>376</v>
      </c>
    </row>
    <row r="30" spans="1:2" ht="14.45">
      <c r="A30" s="42"/>
      <c r="B30" s="43" t="s">
        <v>377</v>
      </c>
    </row>
    <row r="31" spans="1:2" ht="14.45">
      <c r="A31" s="42" t="s">
        <v>203</v>
      </c>
      <c r="B31" s="43" t="s">
        <v>204</v>
      </c>
    </row>
    <row r="32" spans="1:2" ht="29.1">
      <c r="A32" s="42"/>
      <c r="B32" s="43" t="s">
        <v>378</v>
      </c>
    </row>
    <row r="33" spans="1:2" ht="14.45">
      <c r="A33" s="42" t="s">
        <v>203</v>
      </c>
      <c r="B33" s="43" t="s">
        <v>207</v>
      </c>
    </row>
    <row r="34" spans="1:2" ht="14.45">
      <c r="A34" s="42" t="s">
        <v>203</v>
      </c>
      <c r="B34" s="43" t="s">
        <v>210</v>
      </c>
    </row>
    <row r="35" spans="1:2" ht="29.1">
      <c r="A35" s="42" t="s">
        <v>203</v>
      </c>
      <c r="B35" s="43" t="s">
        <v>379</v>
      </c>
    </row>
    <row r="36" spans="1:2" ht="14.45">
      <c r="A36" s="42" t="s">
        <v>203</v>
      </c>
      <c r="B36" s="43" t="s">
        <v>216</v>
      </c>
    </row>
    <row r="37" spans="1:2" ht="14.45">
      <c r="A37" s="42"/>
      <c r="B37" s="43" t="s">
        <v>380</v>
      </c>
    </row>
    <row r="38" spans="1:2" ht="14.45">
      <c r="A38" s="42"/>
      <c r="B38" s="43" t="s">
        <v>381</v>
      </c>
    </row>
    <row r="39" spans="1:2" ht="14.45">
      <c r="A39" s="42"/>
      <c r="B39" s="43" t="s">
        <v>382</v>
      </c>
    </row>
    <row r="40" spans="1:2" ht="14.45">
      <c r="A40" s="42"/>
      <c r="B40" s="43" t="s">
        <v>383</v>
      </c>
    </row>
    <row r="41" spans="1:2" ht="14.45">
      <c r="A41" s="42"/>
      <c r="B41" s="43" t="s">
        <v>384</v>
      </c>
    </row>
    <row r="42" spans="1:2" ht="29.1">
      <c r="A42" s="42" t="s">
        <v>203</v>
      </c>
      <c r="B42" s="43" t="s">
        <v>385</v>
      </c>
    </row>
    <row r="43" spans="1:2" ht="14.45">
      <c r="A43" s="42" t="s">
        <v>224</v>
      </c>
      <c r="B43" s="43" t="s">
        <v>386</v>
      </c>
    </row>
    <row r="44" spans="1:2" ht="14.45">
      <c r="A44" s="42"/>
      <c r="B44" s="43" t="s">
        <v>387</v>
      </c>
    </row>
    <row r="45" spans="1:2" ht="14.45">
      <c r="A45" s="42"/>
      <c r="B45" s="43" t="s">
        <v>388</v>
      </c>
    </row>
    <row r="46" spans="1:2" ht="14.45">
      <c r="A46" s="42"/>
      <c r="B46" s="43" t="s">
        <v>389</v>
      </c>
    </row>
    <row r="47" spans="1:2" ht="14.45">
      <c r="A47" s="44" t="s">
        <v>8</v>
      </c>
      <c r="B47" s="43" t="s">
        <v>390</v>
      </c>
    </row>
    <row r="48" spans="1:2" ht="14.45">
      <c r="A48" s="44" t="s">
        <v>8</v>
      </c>
      <c r="B48" s="43" t="s">
        <v>313</v>
      </c>
    </row>
    <row r="49" spans="1:2" ht="14.45">
      <c r="A49" s="44"/>
      <c r="B49" s="43" t="s">
        <v>315</v>
      </c>
    </row>
    <row r="50" spans="1:2" ht="14.45">
      <c r="A50" s="44"/>
      <c r="B50" s="43" t="s">
        <v>317</v>
      </c>
    </row>
    <row r="51" spans="1:2" ht="14.45">
      <c r="A51" s="44"/>
      <c r="B51" s="43" t="s">
        <v>318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75"/>
  <sheetViews>
    <sheetView topLeftCell="A45" workbookViewId="0">
      <selection activeCell="C53" sqref="C53"/>
    </sheetView>
  </sheetViews>
  <sheetFormatPr defaultRowHeight="14.1"/>
  <cols>
    <col min="1" max="1" width="39.85546875" bestFit="1" customWidth="1"/>
    <col min="2" max="2" width="29.140625" bestFit="1" customWidth="1"/>
    <col min="3" max="3" width="75.140625" bestFit="1" customWidth="1"/>
    <col min="4" max="4" width="13.28515625" hidden="1" customWidth="1"/>
    <col min="5" max="5" width="11.7109375" hidden="1" customWidth="1"/>
    <col min="6" max="6" width="13.85546875" hidden="1" customWidth="1"/>
    <col min="7" max="7" width="17.85546875" hidden="1" customWidth="1"/>
    <col min="8" max="8" width="0" hidden="1" customWidth="1"/>
    <col min="9" max="9" width="16.140625" hidden="1" customWidth="1"/>
    <col min="10" max="10" width="12.42578125" hidden="1" customWidth="1"/>
  </cols>
  <sheetData>
    <row r="1" spans="1:10" ht="15">
      <c r="A1" s="54" t="s">
        <v>253</v>
      </c>
      <c r="B1" s="54" t="s">
        <v>1</v>
      </c>
      <c r="C1" s="54" t="s">
        <v>2</v>
      </c>
      <c r="D1" s="54" t="s">
        <v>254</v>
      </c>
      <c r="E1" s="54" t="s">
        <v>255</v>
      </c>
      <c r="F1" s="54" t="s">
        <v>391</v>
      </c>
      <c r="G1" s="54" t="s">
        <v>256</v>
      </c>
      <c r="H1" s="54" t="s">
        <v>257</v>
      </c>
      <c r="I1" s="54" t="s">
        <v>258</v>
      </c>
      <c r="J1" s="54" t="s">
        <v>392</v>
      </c>
    </row>
    <row r="2" spans="1:10" ht="15">
      <c r="A2" s="16" t="s">
        <v>393</v>
      </c>
      <c r="B2" s="16" t="s">
        <v>394</v>
      </c>
      <c r="C2" s="16" t="s">
        <v>395</v>
      </c>
      <c r="D2" s="16"/>
      <c r="E2" s="16"/>
      <c r="F2" s="16"/>
    </row>
    <row r="3" spans="1:10" ht="15">
      <c r="A3" s="16" t="s">
        <v>393</v>
      </c>
      <c r="B3" s="16" t="s">
        <v>394</v>
      </c>
      <c r="C3" s="16" t="s">
        <v>396</v>
      </c>
      <c r="D3" s="16"/>
      <c r="E3" s="16"/>
      <c r="F3" s="16"/>
    </row>
    <row r="4" spans="1:10" ht="15">
      <c r="A4" s="16" t="s">
        <v>393</v>
      </c>
      <c r="B4" s="16" t="s">
        <v>394</v>
      </c>
      <c r="C4" s="16" t="s">
        <v>397</v>
      </c>
      <c r="D4" s="16"/>
      <c r="E4" s="16"/>
      <c r="F4" s="16"/>
    </row>
    <row r="5" spans="1:10" ht="15">
      <c r="A5" s="16" t="s">
        <v>393</v>
      </c>
      <c r="B5" s="16" t="s">
        <v>394</v>
      </c>
      <c r="C5" s="16" t="s">
        <v>398</v>
      </c>
      <c r="D5" s="16"/>
      <c r="E5" s="16"/>
      <c r="F5" s="16"/>
    </row>
    <row r="6" spans="1:10" ht="15">
      <c r="A6" s="16" t="s">
        <v>399</v>
      </c>
      <c r="B6" s="16" t="s">
        <v>400</v>
      </c>
      <c r="C6" s="16" t="s">
        <v>401</v>
      </c>
      <c r="D6" s="16"/>
      <c r="E6" s="16"/>
      <c r="F6" s="16"/>
    </row>
    <row r="7" spans="1:10" ht="15">
      <c r="A7" s="16" t="s">
        <v>399</v>
      </c>
      <c r="B7" s="16" t="s">
        <v>400</v>
      </c>
      <c r="C7" s="16" t="s">
        <v>402</v>
      </c>
      <c r="D7" s="16"/>
      <c r="E7" s="16"/>
      <c r="F7" s="16"/>
    </row>
    <row r="8" spans="1:10" ht="15">
      <c r="A8" s="16" t="s">
        <v>399</v>
      </c>
      <c r="B8" s="16" t="s">
        <v>400</v>
      </c>
      <c r="C8" s="16" t="s">
        <v>403</v>
      </c>
      <c r="D8" s="16"/>
      <c r="E8" s="16"/>
      <c r="F8" s="16"/>
    </row>
    <row r="9" spans="1:10" ht="15">
      <c r="A9" s="16" t="s">
        <v>399</v>
      </c>
      <c r="B9" s="16" t="s">
        <v>400</v>
      </c>
      <c r="C9" s="16" t="s">
        <v>404</v>
      </c>
      <c r="D9" s="16"/>
      <c r="E9" s="16"/>
      <c r="F9" s="16"/>
    </row>
    <row r="10" spans="1:10" ht="15">
      <c r="A10" s="16" t="s">
        <v>399</v>
      </c>
      <c r="B10" s="16" t="s">
        <v>400</v>
      </c>
      <c r="C10" s="16" t="s">
        <v>405</v>
      </c>
      <c r="D10" s="16"/>
      <c r="E10" s="16"/>
      <c r="F10" s="16"/>
    </row>
    <row r="11" spans="1:10" ht="15">
      <c r="A11" s="16" t="s">
        <v>399</v>
      </c>
      <c r="B11" s="16" t="s">
        <v>400</v>
      </c>
      <c r="C11" s="16" t="s">
        <v>406</v>
      </c>
      <c r="D11" s="16"/>
      <c r="E11" s="16"/>
      <c r="F11" s="16"/>
    </row>
    <row r="12" spans="1:10" ht="15">
      <c r="A12" s="16" t="s">
        <v>399</v>
      </c>
      <c r="B12" s="16" t="s">
        <v>400</v>
      </c>
      <c r="C12" s="16" t="s">
        <v>407</v>
      </c>
      <c r="D12" s="16"/>
      <c r="E12" s="16"/>
      <c r="F12" s="16"/>
    </row>
    <row r="13" spans="1:10" ht="15">
      <c r="A13" s="16" t="s">
        <v>399</v>
      </c>
      <c r="B13" s="16" t="s">
        <v>400</v>
      </c>
      <c r="C13" s="16" t="s">
        <v>408</v>
      </c>
      <c r="D13" s="16"/>
      <c r="E13" s="16"/>
      <c r="F13" s="16"/>
    </row>
    <row r="14" spans="1:10" ht="15">
      <c r="A14" s="16" t="s">
        <v>409</v>
      </c>
      <c r="B14" s="16" t="s">
        <v>410</v>
      </c>
      <c r="C14" s="16" t="s">
        <v>411</v>
      </c>
      <c r="D14" s="16"/>
      <c r="E14" s="16"/>
      <c r="F14" s="16"/>
    </row>
    <row r="15" spans="1:10" ht="15">
      <c r="A15" s="16" t="s">
        <v>409</v>
      </c>
      <c r="B15" s="16" t="s">
        <v>410</v>
      </c>
      <c r="C15" s="16" t="s">
        <v>412</v>
      </c>
      <c r="D15" s="16"/>
      <c r="E15" s="16"/>
      <c r="F15" s="16"/>
    </row>
    <row r="16" spans="1:10" ht="15">
      <c r="A16" s="16" t="s">
        <v>409</v>
      </c>
      <c r="B16" s="16" t="s">
        <v>410</v>
      </c>
      <c r="C16" s="16" t="s">
        <v>413</v>
      </c>
      <c r="D16" s="16"/>
      <c r="E16" s="16"/>
      <c r="F16" s="16"/>
    </row>
    <row r="17" spans="1:6" ht="15">
      <c r="A17" s="16" t="s">
        <v>409</v>
      </c>
      <c r="B17" s="16" t="s">
        <v>410</v>
      </c>
      <c r="C17" s="16" t="s">
        <v>414</v>
      </c>
      <c r="D17" s="16"/>
      <c r="E17" s="16"/>
      <c r="F17" s="16"/>
    </row>
    <row r="18" spans="1:6" ht="15">
      <c r="A18" s="16" t="s">
        <v>409</v>
      </c>
      <c r="B18" s="16" t="s">
        <v>410</v>
      </c>
      <c r="C18" s="16" t="s">
        <v>415</v>
      </c>
      <c r="D18" s="16"/>
      <c r="E18" s="16"/>
      <c r="F18" s="16"/>
    </row>
    <row r="19" spans="1:6" ht="15">
      <c r="A19" s="16" t="s">
        <v>416</v>
      </c>
      <c r="B19" s="16" t="s">
        <v>417</v>
      </c>
      <c r="C19" s="16" t="s">
        <v>418</v>
      </c>
      <c r="D19" s="16"/>
      <c r="E19" s="16"/>
      <c r="F19" s="16"/>
    </row>
    <row r="20" spans="1:6" ht="15">
      <c r="A20" s="16" t="s">
        <v>416</v>
      </c>
      <c r="B20" s="16" t="s">
        <v>417</v>
      </c>
      <c r="C20" s="16" t="s">
        <v>419</v>
      </c>
      <c r="D20" s="16"/>
      <c r="E20" s="16"/>
      <c r="F20" s="16"/>
    </row>
    <row r="21" spans="1:6" ht="15">
      <c r="A21" s="16" t="s">
        <v>416</v>
      </c>
      <c r="B21" s="16" t="s">
        <v>417</v>
      </c>
      <c r="C21" s="16" t="s">
        <v>420</v>
      </c>
      <c r="D21" s="16"/>
      <c r="E21" s="16"/>
      <c r="F21" s="16"/>
    </row>
    <row r="22" spans="1:6" ht="15">
      <c r="A22" s="16" t="s">
        <v>416</v>
      </c>
      <c r="B22" s="16" t="s">
        <v>417</v>
      </c>
      <c r="C22" s="16" t="s">
        <v>421</v>
      </c>
      <c r="D22" s="16"/>
      <c r="E22" s="16"/>
      <c r="F22" s="16"/>
    </row>
    <row r="23" spans="1:6" ht="15">
      <c r="A23" s="16" t="s">
        <v>416</v>
      </c>
      <c r="B23" s="16" t="s">
        <v>417</v>
      </c>
      <c r="C23" s="16" t="s">
        <v>422</v>
      </c>
      <c r="D23" s="16"/>
      <c r="E23" s="16"/>
      <c r="F23" s="16"/>
    </row>
    <row r="24" spans="1:6" ht="15">
      <c r="A24" s="16" t="s">
        <v>423</v>
      </c>
      <c r="B24" s="16" t="s">
        <v>424</v>
      </c>
      <c r="C24" s="16" t="s">
        <v>425</v>
      </c>
      <c r="D24" s="16"/>
      <c r="E24" s="16"/>
      <c r="F24" s="16"/>
    </row>
    <row r="25" spans="1:6" ht="15">
      <c r="A25" s="16" t="s">
        <v>423</v>
      </c>
      <c r="B25" s="16" t="s">
        <v>424</v>
      </c>
      <c r="C25" s="16" t="s">
        <v>426</v>
      </c>
      <c r="D25" s="16"/>
      <c r="E25" s="16"/>
      <c r="F25" s="16"/>
    </row>
    <row r="26" spans="1:6" ht="15">
      <c r="A26" s="16" t="s">
        <v>423</v>
      </c>
      <c r="B26" s="16" t="s">
        <v>424</v>
      </c>
      <c r="C26" s="16" t="s">
        <v>427</v>
      </c>
      <c r="D26" s="16"/>
      <c r="E26" s="16"/>
      <c r="F26" s="16"/>
    </row>
    <row r="27" spans="1:6" ht="15">
      <c r="A27" s="16" t="s">
        <v>423</v>
      </c>
      <c r="B27" s="16" t="s">
        <v>424</v>
      </c>
      <c r="C27" s="16" t="s">
        <v>428</v>
      </c>
      <c r="D27" s="16"/>
      <c r="E27" s="16"/>
      <c r="F27" s="16"/>
    </row>
    <row r="28" spans="1:6" ht="15">
      <c r="A28" s="16" t="s">
        <v>423</v>
      </c>
      <c r="B28" s="16" t="s">
        <v>424</v>
      </c>
      <c r="C28" s="16" t="s">
        <v>429</v>
      </c>
      <c r="D28" s="16"/>
      <c r="E28" s="16"/>
      <c r="F28" s="16"/>
    </row>
    <row r="29" spans="1:6" ht="15">
      <c r="A29" s="16" t="s">
        <v>430</v>
      </c>
      <c r="B29" s="16" t="s">
        <v>431</v>
      </c>
      <c r="C29" s="16" t="s">
        <v>432</v>
      </c>
      <c r="D29" s="16"/>
      <c r="E29" s="16"/>
      <c r="F29" s="16"/>
    </row>
    <row r="30" spans="1:6" ht="15">
      <c r="A30" s="16" t="s">
        <v>430</v>
      </c>
      <c r="B30" s="16" t="s">
        <v>431</v>
      </c>
      <c r="C30" s="16" t="s">
        <v>433</v>
      </c>
      <c r="D30" s="16"/>
      <c r="E30" s="16"/>
      <c r="F30" s="16"/>
    </row>
    <row r="31" spans="1:6" ht="15">
      <c r="A31" s="16" t="s">
        <v>430</v>
      </c>
      <c r="B31" s="16" t="s">
        <v>431</v>
      </c>
      <c r="C31" s="16" t="s">
        <v>434</v>
      </c>
      <c r="D31" s="16"/>
      <c r="E31" s="16"/>
      <c r="F31" s="16"/>
    </row>
    <row r="32" spans="1:6" ht="15">
      <c r="A32" s="16" t="s">
        <v>430</v>
      </c>
      <c r="B32" s="16" t="s">
        <v>431</v>
      </c>
      <c r="C32" s="16" t="s">
        <v>435</v>
      </c>
      <c r="D32" s="16"/>
      <c r="E32" s="16"/>
      <c r="F32" s="16"/>
    </row>
    <row r="33" spans="1:6" ht="15">
      <c r="A33" s="16" t="s">
        <v>430</v>
      </c>
      <c r="B33" s="16" t="s">
        <v>431</v>
      </c>
      <c r="C33" s="16" t="s">
        <v>436</v>
      </c>
      <c r="D33" s="16"/>
      <c r="E33" s="16"/>
      <c r="F33" s="16"/>
    </row>
    <row r="34" spans="1:6" ht="15">
      <c r="A34" s="16" t="s">
        <v>437</v>
      </c>
      <c r="B34" s="16" t="s">
        <v>438</v>
      </c>
      <c r="C34" s="16" t="s">
        <v>439</v>
      </c>
      <c r="D34" s="16"/>
      <c r="E34" s="16"/>
      <c r="F34" s="16"/>
    </row>
    <row r="35" spans="1:6" ht="15">
      <c r="A35" s="16" t="s">
        <v>437</v>
      </c>
      <c r="B35" s="16" t="s">
        <v>438</v>
      </c>
      <c r="C35" s="16" t="s">
        <v>440</v>
      </c>
      <c r="D35" s="16"/>
      <c r="E35" s="16"/>
      <c r="F35" s="16"/>
    </row>
    <row r="36" spans="1:6" ht="15">
      <c r="A36" s="16" t="s">
        <v>437</v>
      </c>
      <c r="B36" s="16" t="s">
        <v>438</v>
      </c>
      <c r="C36" s="16" t="s">
        <v>441</v>
      </c>
      <c r="D36" s="16"/>
      <c r="E36" s="16"/>
      <c r="F36" s="16"/>
    </row>
    <row r="37" spans="1:6" ht="15">
      <c r="A37" s="16" t="s">
        <v>437</v>
      </c>
      <c r="B37" s="16" t="s">
        <v>438</v>
      </c>
      <c r="C37" s="16" t="s">
        <v>442</v>
      </c>
      <c r="D37" s="16"/>
      <c r="E37" s="16"/>
      <c r="F37" s="16"/>
    </row>
    <row r="38" spans="1:6" ht="15">
      <c r="A38" s="16" t="s">
        <v>437</v>
      </c>
      <c r="B38" s="16" t="s">
        <v>438</v>
      </c>
      <c r="C38" s="16" t="s">
        <v>443</v>
      </c>
      <c r="D38" s="16"/>
      <c r="E38" s="16"/>
      <c r="F38" s="16"/>
    </row>
    <row r="39" spans="1:6" ht="15">
      <c r="A39" s="16" t="s">
        <v>444</v>
      </c>
      <c r="B39" s="16" t="s">
        <v>445</v>
      </c>
      <c r="C39" s="16" t="s">
        <v>446</v>
      </c>
      <c r="D39" s="16"/>
      <c r="E39" s="16"/>
      <c r="F39" s="16"/>
    </row>
    <row r="40" spans="1:6" ht="15">
      <c r="A40" s="16" t="s">
        <v>444</v>
      </c>
      <c r="B40" s="16" t="s">
        <v>445</v>
      </c>
      <c r="C40" s="16" t="s">
        <v>447</v>
      </c>
      <c r="D40" s="16"/>
      <c r="E40" s="16"/>
      <c r="F40" s="16"/>
    </row>
    <row r="41" spans="1:6" ht="15">
      <c r="A41" s="16" t="s">
        <v>444</v>
      </c>
      <c r="B41" s="16" t="s">
        <v>445</v>
      </c>
      <c r="C41" s="16" t="s">
        <v>448</v>
      </c>
      <c r="D41" s="16"/>
      <c r="E41" s="16"/>
      <c r="F41" s="16"/>
    </row>
    <row r="42" spans="1:6" ht="15">
      <c r="A42" s="16" t="s">
        <v>444</v>
      </c>
      <c r="B42" s="16" t="s">
        <v>445</v>
      </c>
      <c r="C42" s="16" t="s">
        <v>449</v>
      </c>
      <c r="D42" s="16"/>
      <c r="E42" s="16"/>
      <c r="F42" s="16"/>
    </row>
    <row r="43" spans="1:6" ht="15">
      <c r="A43" s="16" t="s">
        <v>450</v>
      </c>
      <c r="B43" s="16" t="s">
        <v>445</v>
      </c>
      <c r="C43" s="16" t="s">
        <v>451</v>
      </c>
      <c r="D43" s="16"/>
      <c r="E43" s="16"/>
      <c r="F43" s="16"/>
    </row>
    <row r="44" spans="1:6" ht="15">
      <c r="A44" s="16" t="s">
        <v>450</v>
      </c>
      <c r="B44" s="16" t="s">
        <v>445</v>
      </c>
      <c r="C44" s="16" t="s">
        <v>452</v>
      </c>
      <c r="D44" s="16"/>
      <c r="E44" s="16"/>
      <c r="F44" s="16"/>
    </row>
    <row r="45" spans="1:6" ht="15">
      <c r="A45" s="16" t="s">
        <v>450</v>
      </c>
      <c r="B45" s="16" t="s">
        <v>445</v>
      </c>
      <c r="C45" s="16" t="s">
        <v>453</v>
      </c>
      <c r="D45" s="16"/>
      <c r="E45" s="16"/>
      <c r="F45" s="16"/>
    </row>
    <row r="46" spans="1:6" ht="15">
      <c r="A46" s="16" t="s">
        <v>454</v>
      </c>
      <c r="B46" s="16" t="s">
        <v>455</v>
      </c>
      <c r="C46" s="16" t="s">
        <v>456</v>
      </c>
      <c r="D46" s="16"/>
      <c r="E46" s="16"/>
      <c r="F46" s="16"/>
    </row>
    <row r="47" spans="1:6" ht="15">
      <c r="A47" s="16" t="s">
        <v>454</v>
      </c>
      <c r="B47" s="16" t="s">
        <v>455</v>
      </c>
      <c r="C47" s="16" t="s">
        <v>457</v>
      </c>
      <c r="D47" s="16"/>
      <c r="E47" s="16"/>
      <c r="F47" s="16"/>
    </row>
    <row r="48" spans="1:6" ht="15">
      <c r="A48" s="16" t="s">
        <v>454</v>
      </c>
      <c r="B48" s="16" t="s">
        <v>455</v>
      </c>
      <c r="C48" s="16" t="s">
        <v>458</v>
      </c>
      <c r="D48" s="16"/>
      <c r="E48" s="16"/>
      <c r="F48" s="16"/>
    </row>
    <row r="49" spans="1:7" ht="15">
      <c r="A49" s="16" t="s">
        <v>454</v>
      </c>
      <c r="B49" s="16" t="s">
        <v>455</v>
      </c>
      <c r="C49" s="16" t="s">
        <v>459</v>
      </c>
      <c r="D49" s="16"/>
      <c r="E49" s="16"/>
      <c r="F49" s="16"/>
    </row>
    <row r="50" spans="1:7" ht="15">
      <c r="A50" s="16" t="s">
        <v>454</v>
      </c>
      <c r="B50" s="16" t="s">
        <v>455</v>
      </c>
      <c r="C50" s="16" t="s">
        <v>460</v>
      </c>
      <c r="D50" s="16"/>
      <c r="E50" s="16"/>
      <c r="F50" s="16"/>
    </row>
    <row r="51" spans="1:7" ht="15">
      <c r="A51" s="16" t="s">
        <v>461</v>
      </c>
      <c r="B51" s="16" t="s">
        <v>462</v>
      </c>
      <c r="C51" s="16" t="s">
        <v>463</v>
      </c>
      <c r="D51" s="16"/>
      <c r="E51" s="16"/>
      <c r="F51" s="16"/>
    </row>
    <row r="52" spans="1:7" ht="15">
      <c r="A52" s="16" t="s">
        <v>461</v>
      </c>
      <c r="B52" s="16" t="s">
        <v>462</v>
      </c>
      <c r="C52" s="16" t="s">
        <v>464</v>
      </c>
      <c r="D52" s="16"/>
      <c r="E52" s="16"/>
      <c r="F52" s="16"/>
    </row>
    <row r="53" spans="1:7" ht="15">
      <c r="A53" s="16" t="s">
        <v>461</v>
      </c>
      <c r="B53" s="16" t="s">
        <v>462</v>
      </c>
      <c r="C53" s="16" t="s">
        <v>465</v>
      </c>
      <c r="D53" s="16"/>
      <c r="E53" s="16"/>
      <c r="F53" s="16"/>
    </row>
    <row r="54" spans="1:7" ht="15">
      <c r="A54" s="16" t="s">
        <v>461</v>
      </c>
      <c r="B54" s="16" t="s">
        <v>462</v>
      </c>
      <c r="C54" s="16" t="s">
        <v>466</v>
      </c>
      <c r="D54" s="16"/>
      <c r="E54" s="16"/>
      <c r="F54" s="16"/>
      <c r="G54" t="s">
        <v>330</v>
      </c>
    </row>
    <row r="55" spans="1:7" ht="15">
      <c r="A55" s="16" t="s">
        <v>467</v>
      </c>
      <c r="B55" s="16" t="s">
        <v>394</v>
      </c>
      <c r="C55" s="16" t="s">
        <v>468</v>
      </c>
      <c r="D55" s="16"/>
      <c r="E55" s="16"/>
      <c r="F55" s="16"/>
    </row>
    <row r="56" spans="1:7" ht="15">
      <c r="A56" s="16" t="s">
        <v>467</v>
      </c>
      <c r="B56" s="16" t="s">
        <v>394</v>
      </c>
      <c r="C56" s="16" t="s">
        <v>469</v>
      </c>
      <c r="D56" s="16"/>
      <c r="E56" s="16"/>
      <c r="F56" s="16"/>
    </row>
    <row r="57" spans="1:7" ht="15">
      <c r="A57" s="16" t="s">
        <v>467</v>
      </c>
      <c r="B57" s="16" t="s">
        <v>394</v>
      </c>
      <c r="C57" s="16" t="s">
        <v>470</v>
      </c>
      <c r="D57" s="16"/>
      <c r="E57" s="16"/>
      <c r="F57" s="16"/>
    </row>
    <row r="58" spans="1:7" ht="15">
      <c r="A58" s="16" t="s">
        <v>467</v>
      </c>
      <c r="B58" s="16" t="s">
        <v>394</v>
      </c>
      <c r="C58" s="16" t="s">
        <v>471</v>
      </c>
      <c r="D58" s="16"/>
      <c r="E58" s="16"/>
      <c r="F58" s="16"/>
      <c r="G58" t="s">
        <v>335</v>
      </c>
    </row>
    <row r="59" spans="1:7" ht="15">
      <c r="A59" s="16" t="s">
        <v>472</v>
      </c>
      <c r="B59" s="16" t="s">
        <v>410</v>
      </c>
      <c r="C59" s="16" t="s">
        <v>473</v>
      </c>
      <c r="D59" s="16"/>
      <c r="E59" s="16"/>
      <c r="F59" s="16"/>
    </row>
    <row r="60" spans="1:7" ht="15">
      <c r="A60" s="16" t="s">
        <v>472</v>
      </c>
      <c r="B60" s="16" t="s">
        <v>410</v>
      </c>
      <c r="C60" s="16" t="s">
        <v>474</v>
      </c>
      <c r="D60" s="16"/>
      <c r="E60" s="16"/>
      <c r="F60" s="16"/>
      <c r="G60" t="s">
        <v>338</v>
      </c>
    </row>
    <row r="61" spans="1:7" ht="15">
      <c r="A61" s="16" t="s">
        <v>472</v>
      </c>
      <c r="B61" s="16" t="s">
        <v>410</v>
      </c>
      <c r="C61" s="16" t="s">
        <v>475</v>
      </c>
      <c r="D61" s="16"/>
      <c r="E61" s="16"/>
      <c r="F61" s="16"/>
    </row>
    <row r="62" spans="1:7" ht="15">
      <c r="A62" s="16" t="s">
        <v>476</v>
      </c>
      <c r="B62" s="16" t="s">
        <v>477</v>
      </c>
      <c r="C62" s="16" t="s">
        <v>478</v>
      </c>
      <c r="D62" s="16"/>
      <c r="E62" s="16"/>
      <c r="F62" s="16"/>
    </row>
    <row r="63" spans="1:7" ht="15">
      <c r="A63" s="16" t="s">
        <v>476</v>
      </c>
      <c r="B63" s="16" t="s">
        <v>477</v>
      </c>
      <c r="C63" s="16" t="s">
        <v>479</v>
      </c>
      <c r="D63" s="16"/>
      <c r="E63" s="16"/>
      <c r="F63" s="16"/>
    </row>
    <row r="64" spans="1:7" ht="15">
      <c r="A64" s="16" t="s">
        <v>476</v>
      </c>
      <c r="B64" s="16" t="s">
        <v>477</v>
      </c>
      <c r="C64" s="16" t="s">
        <v>480</v>
      </c>
      <c r="D64" s="16"/>
      <c r="E64" s="16"/>
      <c r="F64" s="16"/>
    </row>
    <row r="65" spans="1:6" ht="210" customHeight="1">
      <c r="A65" s="105"/>
      <c r="B65" s="106"/>
      <c r="C65" s="106"/>
      <c r="D65" s="108"/>
      <c r="E65" s="16"/>
      <c r="F65" s="16" t="s">
        <v>481</v>
      </c>
    </row>
    <row r="66" spans="1:6" ht="15"/>
    <row r="67" spans="1:6" ht="15"/>
    <row r="68" spans="1:6" ht="15"/>
    <row r="69" spans="1:6" ht="15"/>
    <row r="70" spans="1:6" ht="15"/>
    <row r="71" spans="1:6" ht="15"/>
    <row r="72" spans="1:6" ht="15"/>
    <row r="73" spans="1:6" ht="15"/>
    <row r="74" spans="1:6" ht="15"/>
    <row r="75" spans="1:6" ht="15"/>
  </sheetData>
  <mergeCells count="1">
    <mergeCell ref="A65:D65"/>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9"/>
  <sheetViews>
    <sheetView workbookViewId="0">
      <selection sqref="A1:C1"/>
    </sheetView>
  </sheetViews>
  <sheetFormatPr defaultRowHeight="14.1"/>
  <cols>
    <col min="1" max="1" width="22.5703125" bestFit="1" customWidth="1"/>
    <col min="2" max="2" width="82.42578125" style="1" customWidth="1"/>
    <col min="3" max="3" width="67.85546875" style="1" customWidth="1"/>
  </cols>
  <sheetData>
    <row r="1" spans="1:3" ht="15">
      <c r="A1" s="19" t="s">
        <v>1</v>
      </c>
      <c r="B1" s="22" t="s">
        <v>2</v>
      </c>
      <c r="C1" s="22" t="s">
        <v>3</v>
      </c>
    </row>
    <row r="2" spans="1:3" ht="15">
      <c r="A2" t="s">
        <v>462</v>
      </c>
      <c r="B2" t="s">
        <v>482</v>
      </c>
      <c r="C2" t="s">
        <v>483</v>
      </c>
    </row>
    <row r="3" spans="1:3" ht="15">
      <c r="A3" t="s">
        <v>462</v>
      </c>
      <c r="B3" t="s">
        <v>484</v>
      </c>
      <c r="C3" t="s">
        <v>485</v>
      </c>
    </row>
    <row r="4" spans="1:3" ht="15">
      <c r="A4" t="s">
        <v>462</v>
      </c>
      <c r="B4" t="s">
        <v>486</v>
      </c>
      <c r="C4" t="s">
        <v>487</v>
      </c>
    </row>
    <row r="5" spans="1:3" ht="15">
      <c r="A5" t="s">
        <v>462</v>
      </c>
      <c r="B5" t="s">
        <v>488</v>
      </c>
      <c r="C5" t="s">
        <v>489</v>
      </c>
    </row>
    <row r="6" spans="1:3" ht="15">
      <c r="A6" t="s">
        <v>462</v>
      </c>
      <c r="B6" t="s">
        <v>490</v>
      </c>
      <c r="C6" t="s">
        <v>491</v>
      </c>
    </row>
    <row r="7" spans="1:3" ht="15">
      <c r="A7" t="s">
        <v>462</v>
      </c>
      <c r="B7" t="s">
        <v>492</v>
      </c>
      <c r="C7" t="s">
        <v>493</v>
      </c>
    </row>
    <row r="8" spans="1:3" ht="15">
      <c r="A8" t="s">
        <v>410</v>
      </c>
      <c r="B8" t="s">
        <v>494</v>
      </c>
      <c r="C8" t="s">
        <v>495</v>
      </c>
    </row>
    <row r="9" spans="1:3" ht="15">
      <c r="A9" t="s">
        <v>410</v>
      </c>
      <c r="B9" t="s">
        <v>496</v>
      </c>
      <c r="C9" t="s">
        <v>497</v>
      </c>
    </row>
    <row r="10" spans="1:3" ht="15">
      <c r="A10" t="s">
        <v>410</v>
      </c>
      <c r="B10" t="s">
        <v>498</v>
      </c>
      <c r="C10" t="s">
        <v>499</v>
      </c>
    </row>
    <row r="11" spans="1:3" ht="15">
      <c r="A11" t="s">
        <v>410</v>
      </c>
      <c r="B11" t="s">
        <v>500</v>
      </c>
      <c r="C11" t="s">
        <v>501</v>
      </c>
    </row>
    <row r="12" spans="1:3" ht="15">
      <c r="A12" t="s">
        <v>410</v>
      </c>
      <c r="B12" t="s">
        <v>502</v>
      </c>
      <c r="C12" t="s">
        <v>503</v>
      </c>
    </row>
    <row r="13" spans="1:3" ht="15">
      <c r="A13" t="s">
        <v>410</v>
      </c>
      <c r="B13" t="s">
        <v>504</v>
      </c>
      <c r="C13" t="s">
        <v>505</v>
      </c>
    </row>
    <row r="14" spans="1:3" ht="15">
      <c r="A14" t="s">
        <v>424</v>
      </c>
      <c r="B14" t="s">
        <v>506</v>
      </c>
      <c r="C14" t="s">
        <v>507</v>
      </c>
    </row>
    <row r="15" spans="1:3" ht="15">
      <c r="A15" t="s">
        <v>424</v>
      </c>
      <c r="B15" t="s">
        <v>508</v>
      </c>
      <c r="C15" t="s">
        <v>509</v>
      </c>
    </row>
    <row r="16" spans="1:3" ht="15">
      <c r="A16" t="s">
        <v>424</v>
      </c>
      <c r="B16" t="s">
        <v>510</v>
      </c>
      <c r="C16" t="s">
        <v>511</v>
      </c>
    </row>
    <row r="17" spans="1:4" ht="15">
      <c r="A17" t="s">
        <v>424</v>
      </c>
      <c r="B17" t="s">
        <v>512</v>
      </c>
      <c r="C17" t="s">
        <v>513</v>
      </c>
    </row>
    <row r="18" spans="1:4" ht="15">
      <c r="A18" t="s">
        <v>424</v>
      </c>
      <c r="B18" t="s">
        <v>514</v>
      </c>
      <c r="C18" t="s">
        <v>515</v>
      </c>
    </row>
    <row r="19" spans="1:4" ht="15">
      <c r="A19" t="s">
        <v>424</v>
      </c>
      <c r="B19" t="s">
        <v>516</v>
      </c>
      <c r="C19" t="s">
        <v>517</v>
      </c>
    </row>
    <row r="20" spans="1:4" ht="15">
      <c r="A20" t="s">
        <v>438</v>
      </c>
      <c r="B20" t="s">
        <v>518</v>
      </c>
      <c r="C20" t="s">
        <v>519</v>
      </c>
    </row>
    <row r="21" spans="1:4" ht="15">
      <c r="A21" t="s">
        <v>438</v>
      </c>
      <c r="B21" t="s">
        <v>520</v>
      </c>
      <c r="C21" t="s">
        <v>521</v>
      </c>
    </row>
    <row r="22" spans="1:4" ht="15">
      <c r="A22" t="s">
        <v>438</v>
      </c>
      <c r="B22" t="s">
        <v>522</v>
      </c>
      <c r="C22" t="s">
        <v>523</v>
      </c>
    </row>
    <row r="23" spans="1:4" ht="15">
      <c r="A23" t="s">
        <v>438</v>
      </c>
      <c r="B23" t="s">
        <v>524</v>
      </c>
      <c r="C23" t="s">
        <v>525</v>
      </c>
    </row>
    <row r="24" spans="1:4" ht="15">
      <c r="A24" t="s">
        <v>438</v>
      </c>
      <c r="B24" t="s">
        <v>526</v>
      </c>
      <c r="C24" t="s">
        <v>527</v>
      </c>
    </row>
    <row r="25" spans="1:4" ht="15">
      <c r="A25" t="s">
        <v>477</v>
      </c>
      <c r="B25" t="s">
        <v>528</v>
      </c>
      <c r="C25" t="s">
        <v>529</v>
      </c>
    </row>
    <row r="26" spans="1:4" ht="15">
      <c r="A26" t="s">
        <v>477</v>
      </c>
      <c r="B26" t="s">
        <v>530</v>
      </c>
      <c r="C26" t="s">
        <v>531</v>
      </c>
    </row>
    <row r="27" spans="1:4" ht="15">
      <c r="A27" t="s">
        <v>477</v>
      </c>
      <c r="B27" t="s">
        <v>532</v>
      </c>
      <c r="C27" t="s">
        <v>533</v>
      </c>
    </row>
    <row r="28" spans="1:4" ht="15">
      <c r="A28" t="s">
        <v>534</v>
      </c>
      <c r="B28" t="s">
        <v>535</v>
      </c>
      <c r="C28" t="s">
        <v>536</v>
      </c>
      <c r="D28" s="56"/>
    </row>
    <row r="29" spans="1:4" ht="15">
      <c r="A29" t="s">
        <v>534</v>
      </c>
      <c r="B29" t="s">
        <v>537</v>
      </c>
      <c r="C29" t="s">
        <v>538</v>
      </c>
      <c r="D29" s="56"/>
    </row>
    <row r="30" spans="1:4" ht="15">
      <c r="A30" t="s">
        <v>534</v>
      </c>
      <c r="B30" t="s">
        <v>539</v>
      </c>
      <c r="C30" t="s">
        <v>540</v>
      </c>
      <c r="D30" s="56"/>
    </row>
    <row r="31" spans="1:4" ht="15">
      <c r="A31" t="s">
        <v>534</v>
      </c>
      <c r="B31" t="s">
        <v>541</v>
      </c>
      <c r="C31" t="s">
        <v>542</v>
      </c>
      <c r="D31" s="56"/>
    </row>
    <row r="32" spans="1:4" ht="15">
      <c r="A32" t="s">
        <v>534</v>
      </c>
      <c r="B32" t="s">
        <v>543</v>
      </c>
      <c r="C32" t="s">
        <v>544</v>
      </c>
      <c r="D32" s="56"/>
    </row>
    <row r="33" spans="1:4" ht="15">
      <c r="A33" t="s">
        <v>534</v>
      </c>
      <c r="B33" t="s">
        <v>545</v>
      </c>
      <c r="C33" t="s">
        <v>546</v>
      </c>
      <c r="D33" s="56"/>
    </row>
    <row r="34" spans="1:4" ht="15">
      <c r="A34" t="s">
        <v>534</v>
      </c>
      <c r="B34" t="s">
        <v>547</v>
      </c>
      <c r="C34" t="s">
        <v>548</v>
      </c>
      <c r="D34" s="56"/>
    </row>
    <row r="35" spans="1:4" ht="15">
      <c r="A35" t="s">
        <v>534</v>
      </c>
      <c r="B35" t="s">
        <v>549</v>
      </c>
      <c r="C35" t="s">
        <v>550</v>
      </c>
      <c r="D35" s="56"/>
    </row>
    <row r="36" spans="1:4" ht="15">
      <c r="A36" t="s">
        <v>534</v>
      </c>
      <c r="B36" t="s">
        <v>551</v>
      </c>
      <c r="C36" t="s">
        <v>552</v>
      </c>
      <c r="D36" s="56"/>
    </row>
    <row r="37" spans="1:4" ht="15">
      <c r="A37" t="s">
        <v>534</v>
      </c>
      <c r="B37" t="s">
        <v>553</v>
      </c>
      <c r="C37" t="s">
        <v>554</v>
      </c>
      <c r="D37" s="56"/>
    </row>
    <row r="38" spans="1:4" ht="15">
      <c r="A38" t="s">
        <v>555</v>
      </c>
      <c r="B38" t="s">
        <v>556</v>
      </c>
      <c r="C38" t="s">
        <v>557</v>
      </c>
      <c r="D38" s="56"/>
    </row>
    <row r="39" spans="1:4" ht="15">
      <c r="A39" t="s">
        <v>555</v>
      </c>
      <c r="B39" t="s">
        <v>558</v>
      </c>
      <c r="C39" t="s">
        <v>559</v>
      </c>
      <c r="D39" s="56"/>
    </row>
    <row r="40" spans="1:4" ht="15">
      <c r="A40" t="s">
        <v>555</v>
      </c>
      <c r="B40" t="s">
        <v>560</v>
      </c>
      <c r="C40" t="s">
        <v>561</v>
      </c>
      <c r="D40" s="56"/>
    </row>
    <row r="41" spans="1:4" ht="15">
      <c r="A41" t="s">
        <v>555</v>
      </c>
      <c r="B41" t="s">
        <v>562</v>
      </c>
      <c r="C41" t="s">
        <v>563</v>
      </c>
      <c r="D41" s="56"/>
    </row>
    <row r="42" spans="1:4" ht="15">
      <c r="A42" t="s">
        <v>555</v>
      </c>
      <c r="B42" t="s">
        <v>564</v>
      </c>
      <c r="C42" t="s">
        <v>565</v>
      </c>
      <c r="D42" s="56"/>
    </row>
    <row r="43" spans="1:4" ht="15">
      <c r="A43" t="s">
        <v>410</v>
      </c>
      <c r="B43" t="s">
        <v>566</v>
      </c>
      <c r="C43" t="s">
        <v>567</v>
      </c>
      <c r="D43" s="56"/>
    </row>
    <row r="44" spans="1:4" ht="15">
      <c r="A44" t="s">
        <v>410</v>
      </c>
      <c r="B44" t="s">
        <v>568</v>
      </c>
      <c r="C44" t="s">
        <v>569</v>
      </c>
      <c r="D44" s="56"/>
    </row>
    <row r="45" spans="1:4" ht="15">
      <c r="A45" t="s">
        <v>410</v>
      </c>
      <c r="B45" t="s">
        <v>570</v>
      </c>
      <c r="C45" t="s">
        <v>571</v>
      </c>
      <c r="D45" s="56"/>
    </row>
    <row r="46" spans="1:4" ht="15">
      <c r="A46" t="s">
        <v>410</v>
      </c>
      <c r="B46" t="s">
        <v>572</v>
      </c>
      <c r="C46" t="s">
        <v>573</v>
      </c>
    </row>
    <row r="47" spans="1:4" ht="15">
      <c r="A47" s="16" t="s">
        <v>410</v>
      </c>
      <c r="B47" t="s">
        <v>574</v>
      </c>
      <c r="C47" t="s">
        <v>575</v>
      </c>
    </row>
    <row r="48" spans="1:4" ht="15">
      <c r="A48" s="16"/>
      <c r="B48" s="20"/>
      <c r="C48" s="20"/>
    </row>
    <row r="49" spans="1:3" ht="15">
      <c r="A49" s="16"/>
      <c r="B49" s="20"/>
      <c r="C49" s="20"/>
    </row>
    <row r="50" spans="1:3" ht="15">
      <c r="A50" s="16"/>
      <c r="B50" s="20"/>
      <c r="C50" s="20"/>
    </row>
    <row r="51" spans="1:3" ht="15">
      <c r="A51" s="21"/>
      <c r="B51" s="23"/>
      <c r="C51" s="23"/>
    </row>
    <row r="52" spans="1:3" ht="15">
      <c r="A52" s="16"/>
      <c r="B52" s="20"/>
      <c r="C52" s="20"/>
    </row>
    <row r="53" spans="1:3" ht="15">
      <c r="A53" s="16"/>
      <c r="B53" s="20"/>
      <c r="C53" s="20"/>
    </row>
    <row r="54" spans="1:3" ht="15">
      <c r="A54" s="16"/>
      <c r="B54" s="20"/>
      <c r="C54" s="20"/>
    </row>
    <row r="55" spans="1:3" ht="15"/>
    <row r="56" spans="1:3" ht="15"/>
    <row r="57" spans="1:3" ht="15"/>
    <row r="58" spans="1:3" ht="15"/>
    <row r="59" spans="1:3" 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E51F5-EE02-42DD-B675-13B90AE3FE37}">
  <dimension ref="A1:K190"/>
  <sheetViews>
    <sheetView workbookViewId="0">
      <pane xSplit="1" topLeftCell="D1" activePane="topRight" state="frozen"/>
      <selection pane="topRight" activeCell="B7" sqref="B7"/>
    </sheetView>
  </sheetViews>
  <sheetFormatPr defaultRowHeight="15"/>
  <cols>
    <col min="1" max="1" width="69.140625" bestFit="1" customWidth="1"/>
    <col min="2" max="2" width="69.140625" customWidth="1"/>
    <col min="3" max="3" width="70.140625" bestFit="1" customWidth="1"/>
    <col min="4" max="4" width="101.85546875" bestFit="1" customWidth="1"/>
    <col min="5" max="5" width="12.42578125" bestFit="1" customWidth="1"/>
    <col min="6" max="6" width="10.42578125" bestFit="1" customWidth="1"/>
    <col min="7" max="7" width="12.7109375" bestFit="1" customWidth="1"/>
    <col min="8" max="8" width="14.5703125" bestFit="1" customWidth="1"/>
    <col min="9" max="9" width="4.42578125" bestFit="1" customWidth="1"/>
    <col min="10" max="10" width="15.85546875" bestFit="1" customWidth="1"/>
    <col min="11" max="11" width="11" bestFit="1" customWidth="1"/>
  </cols>
  <sheetData>
    <row r="1" spans="1:11" ht="15.75">
      <c r="A1" s="91" t="s">
        <v>576</v>
      </c>
      <c r="B1" s="91" t="s">
        <v>577</v>
      </c>
      <c r="C1" s="91" t="s">
        <v>578</v>
      </c>
      <c r="D1" s="92" t="s">
        <v>579</v>
      </c>
      <c r="E1" s="59" t="s">
        <v>254</v>
      </c>
      <c r="F1" s="59" t="s">
        <v>255</v>
      </c>
      <c r="G1" s="59" t="s">
        <v>391</v>
      </c>
      <c r="H1" s="59" t="s">
        <v>256</v>
      </c>
      <c r="I1" s="59" t="s">
        <v>257</v>
      </c>
      <c r="J1" s="59" t="s">
        <v>258</v>
      </c>
      <c r="K1" s="60" t="s">
        <v>392</v>
      </c>
    </row>
    <row r="2" spans="1:11" ht="15.75">
      <c r="A2" t="s">
        <v>462</v>
      </c>
      <c r="B2" t="s">
        <v>580</v>
      </c>
      <c r="C2" t="s">
        <v>581</v>
      </c>
      <c r="D2" t="s">
        <v>582</v>
      </c>
      <c r="E2" s="65"/>
      <c r="F2" s="65"/>
      <c r="G2" s="65"/>
      <c r="H2" s="65"/>
      <c r="I2" s="65"/>
      <c r="J2" s="65"/>
      <c r="K2" s="66"/>
    </row>
    <row r="3" spans="1:11" ht="15.75">
      <c r="A3" t="s">
        <v>462</v>
      </c>
      <c r="B3" t="s">
        <v>580</v>
      </c>
      <c r="C3" t="s">
        <v>583</v>
      </c>
      <c r="D3" t="s">
        <v>584</v>
      </c>
      <c r="E3" s="65"/>
      <c r="F3" s="65"/>
      <c r="G3" s="65"/>
      <c r="H3" s="65"/>
      <c r="I3" s="65"/>
      <c r="J3" s="65"/>
      <c r="K3" s="66"/>
    </row>
    <row r="4" spans="1:11" ht="15.75">
      <c r="A4" t="s">
        <v>462</v>
      </c>
      <c r="B4" t="s">
        <v>580</v>
      </c>
      <c r="C4" t="s">
        <v>585</v>
      </c>
      <c r="D4" t="s">
        <v>586</v>
      </c>
      <c r="E4" s="65"/>
      <c r="F4" s="65"/>
      <c r="G4" s="65"/>
      <c r="H4" s="65"/>
      <c r="I4" s="65"/>
      <c r="J4" s="65"/>
      <c r="K4" s="66"/>
    </row>
    <row r="5" spans="1:11" ht="15.75">
      <c r="A5" t="s">
        <v>462</v>
      </c>
      <c r="B5" t="s">
        <v>580</v>
      </c>
      <c r="C5" t="s">
        <v>587</v>
      </c>
      <c r="D5" t="s">
        <v>588</v>
      </c>
      <c r="E5" s="65"/>
      <c r="F5" s="65"/>
      <c r="G5" s="65"/>
      <c r="H5" s="65"/>
      <c r="I5" s="65"/>
      <c r="J5" s="65"/>
      <c r="K5" s="66"/>
    </row>
    <row r="6" spans="1:11" ht="15.75">
      <c r="A6" t="s">
        <v>462</v>
      </c>
      <c r="B6" t="s">
        <v>580</v>
      </c>
      <c r="C6" t="s">
        <v>589</v>
      </c>
      <c r="D6" t="s">
        <v>590</v>
      </c>
      <c r="E6" s="65"/>
      <c r="F6" s="65"/>
      <c r="G6" s="65"/>
      <c r="H6" s="65"/>
      <c r="I6" s="65"/>
      <c r="J6" s="65"/>
      <c r="K6" s="66"/>
    </row>
    <row r="7" spans="1:11" ht="15.75">
      <c r="A7" t="s">
        <v>462</v>
      </c>
      <c r="B7" t="s">
        <v>580</v>
      </c>
      <c r="C7" t="s">
        <v>591</v>
      </c>
      <c r="D7" t="s">
        <v>592</v>
      </c>
      <c r="E7" s="65"/>
      <c r="F7" s="65"/>
      <c r="G7" s="65"/>
      <c r="H7" s="65"/>
      <c r="I7" s="65"/>
      <c r="J7" s="65"/>
      <c r="K7" s="66"/>
    </row>
    <row r="8" spans="1:11" ht="15.75">
      <c r="A8" t="s">
        <v>462</v>
      </c>
      <c r="B8" t="s">
        <v>580</v>
      </c>
      <c r="C8" t="s">
        <v>593</v>
      </c>
      <c r="D8" t="s">
        <v>594</v>
      </c>
      <c r="E8" s="65"/>
      <c r="F8" s="65"/>
      <c r="G8" s="65"/>
      <c r="H8" s="65"/>
      <c r="I8" s="65"/>
      <c r="J8" s="65"/>
      <c r="K8" s="66"/>
    </row>
    <row r="9" spans="1:11" ht="15.75">
      <c r="A9" t="s">
        <v>462</v>
      </c>
      <c r="B9" t="s">
        <v>580</v>
      </c>
      <c r="C9" t="s">
        <v>595</v>
      </c>
      <c r="D9" t="s">
        <v>596</v>
      </c>
      <c r="E9" s="65"/>
      <c r="F9" s="65"/>
      <c r="G9" s="65"/>
      <c r="H9" s="65"/>
      <c r="I9" s="65"/>
      <c r="J9" s="65"/>
      <c r="K9" s="66"/>
    </row>
    <row r="10" spans="1:11" ht="15.75">
      <c r="A10" t="s">
        <v>462</v>
      </c>
      <c r="B10" t="s">
        <v>580</v>
      </c>
      <c r="C10" t="s">
        <v>597</v>
      </c>
      <c r="D10" t="s">
        <v>598</v>
      </c>
      <c r="E10" s="65"/>
      <c r="F10" s="65"/>
      <c r="G10" s="65"/>
      <c r="H10" s="65"/>
      <c r="I10" s="65"/>
      <c r="J10" s="65"/>
      <c r="K10" s="66"/>
    </row>
    <row r="11" spans="1:11" ht="15.75">
      <c r="A11" t="s">
        <v>462</v>
      </c>
      <c r="B11" t="s">
        <v>580</v>
      </c>
      <c r="C11" t="s">
        <v>599</v>
      </c>
      <c r="D11" t="s">
        <v>600</v>
      </c>
      <c r="E11" s="65"/>
      <c r="F11" s="65"/>
      <c r="G11" s="65"/>
      <c r="H11" s="65"/>
      <c r="I11" s="65"/>
      <c r="J11" s="65"/>
      <c r="K11" s="66"/>
    </row>
    <row r="12" spans="1:11" ht="15.75">
      <c r="A12" t="s">
        <v>462</v>
      </c>
      <c r="B12" t="s">
        <v>601</v>
      </c>
      <c r="C12" t="s">
        <v>602</v>
      </c>
      <c r="D12" t="s">
        <v>603</v>
      </c>
      <c r="E12" s="65"/>
      <c r="F12" s="65"/>
      <c r="G12" s="65"/>
      <c r="H12" s="65"/>
      <c r="I12" s="65"/>
      <c r="J12" s="65"/>
      <c r="K12" s="66"/>
    </row>
    <row r="13" spans="1:11" ht="15.75">
      <c r="A13" t="s">
        <v>462</v>
      </c>
      <c r="B13" t="s">
        <v>601</v>
      </c>
      <c r="C13" t="s">
        <v>604</v>
      </c>
      <c r="D13" t="s">
        <v>605</v>
      </c>
      <c r="E13" s="65"/>
      <c r="F13" s="65"/>
      <c r="G13" s="65"/>
      <c r="H13" s="65"/>
      <c r="I13" s="65"/>
      <c r="J13" s="65"/>
      <c r="K13" s="66"/>
    </row>
    <row r="14" spans="1:11" ht="15.75">
      <c r="A14" t="s">
        <v>462</v>
      </c>
      <c r="B14" t="s">
        <v>601</v>
      </c>
      <c r="C14" t="s">
        <v>606</v>
      </c>
      <c r="D14" t="s">
        <v>607</v>
      </c>
      <c r="E14" s="65"/>
      <c r="F14" s="65"/>
      <c r="G14" s="65"/>
      <c r="H14" s="65"/>
      <c r="I14" s="65"/>
      <c r="J14" s="65"/>
      <c r="K14" s="66"/>
    </row>
    <row r="15" spans="1:11" ht="15.75">
      <c r="A15" t="s">
        <v>462</v>
      </c>
      <c r="B15" t="s">
        <v>608</v>
      </c>
      <c r="C15" t="s">
        <v>609</v>
      </c>
      <c r="D15" t="s">
        <v>610</v>
      </c>
      <c r="E15" s="65"/>
      <c r="F15" s="65"/>
      <c r="G15" s="65"/>
      <c r="H15" s="65"/>
      <c r="I15" s="65"/>
      <c r="J15" s="65"/>
      <c r="K15" s="66"/>
    </row>
    <row r="16" spans="1:11" ht="15.75">
      <c r="A16" t="s">
        <v>462</v>
      </c>
      <c r="B16" t="s">
        <v>608</v>
      </c>
      <c r="C16" t="s">
        <v>611</v>
      </c>
      <c r="D16" t="s">
        <v>612</v>
      </c>
      <c r="E16" s="65"/>
      <c r="F16" s="65"/>
      <c r="G16" s="65"/>
      <c r="H16" s="65"/>
      <c r="I16" s="65"/>
      <c r="J16" s="65"/>
      <c r="K16" s="66"/>
    </row>
    <row r="17" spans="1:11" ht="15.75">
      <c r="A17" t="s">
        <v>462</v>
      </c>
      <c r="B17" t="s">
        <v>608</v>
      </c>
      <c r="C17" t="s">
        <v>613</v>
      </c>
      <c r="D17" t="s">
        <v>614</v>
      </c>
      <c r="E17" s="65"/>
      <c r="F17" s="65"/>
      <c r="G17" s="65"/>
      <c r="H17" s="65"/>
      <c r="I17" s="65"/>
      <c r="J17" s="65"/>
      <c r="K17" s="66"/>
    </row>
    <row r="18" spans="1:11" ht="15.75">
      <c r="A18" t="s">
        <v>462</v>
      </c>
      <c r="B18" t="s">
        <v>608</v>
      </c>
      <c r="C18" t="s">
        <v>615</v>
      </c>
      <c r="D18" t="s">
        <v>616</v>
      </c>
      <c r="E18" s="65"/>
      <c r="F18" s="65"/>
      <c r="G18" s="65"/>
      <c r="H18" s="65"/>
      <c r="I18" s="65"/>
      <c r="J18" s="65"/>
      <c r="K18" s="66"/>
    </row>
    <row r="19" spans="1:11" ht="15.75">
      <c r="A19" t="s">
        <v>462</v>
      </c>
      <c r="B19" t="s">
        <v>617</v>
      </c>
      <c r="C19" t="s">
        <v>618</v>
      </c>
      <c r="D19" t="s">
        <v>619</v>
      </c>
      <c r="E19" s="65"/>
      <c r="F19" s="65"/>
      <c r="G19" s="65"/>
      <c r="H19" s="65"/>
      <c r="I19" s="65"/>
      <c r="J19" s="65"/>
      <c r="K19" s="66"/>
    </row>
    <row r="20" spans="1:11" ht="15.75">
      <c r="A20" t="s">
        <v>462</v>
      </c>
      <c r="B20" t="s">
        <v>617</v>
      </c>
      <c r="C20" t="s">
        <v>620</v>
      </c>
      <c r="D20" t="s">
        <v>621</v>
      </c>
      <c r="E20" s="65"/>
      <c r="F20" s="65"/>
      <c r="G20" s="65"/>
      <c r="H20" s="65"/>
      <c r="I20" s="65"/>
      <c r="J20" s="65"/>
      <c r="K20" s="66"/>
    </row>
    <row r="21" spans="1:11" ht="15.75">
      <c r="A21" t="s">
        <v>462</v>
      </c>
      <c r="B21" t="s">
        <v>617</v>
      </c>
      <c r="C21" t="s">
        <v>622</v>
      </c>
      <c r="D21" t="s">
        <v>623</v>
      </c>
      <c r="E21" s="68"/>
      <c r="F21" s="68"/>
      <c r="G21" s="68"/>
      <c r="H21" s="68"/>
      <c r="I21" s="68"/>
      <c r="J21" s="68"/>
      <c r="K21" s="63"/>
    </row>
    <row r="22" spans="1:11" ht="15.75">
      <c r="A22" t="s">
        <v>462</v>
      </c>
      <c r="B22" t="s">
        <v>624</v>
      </c>
      <c r="C22" t="s">
        <v>625</v>
      </c>
      <c r="D22" t="s">
        <v>626</v>
      </c>
      <c r="E22" s="68"/>
      <c r="F22" s="68"/>
      <c r="G22" s="68"/>
      <c r="H22" s="68"/>
      <c r="I22" s="68"/>
      <c r="J22" s="68"/>
      <c r="K22" s="63"/>
    </row>
    <row r="23" spans="1:11" ht="15.75">
      <c r="A23" t="s">
        <v>462</v>
      </c>
      <c r="B23" t="s">
        <v>624</v>
      </c>
      <c r="C23" t="s">
        <v>627</v>
      </c>
      <c r="D23" t="s">
        <v>628</v>
      </c>
      <c r="E23" s="68"/>
      <c r="F23" s="68"/>
      <c r="G23" s="68"/>
      <c r="H23" s="68"/>
      <c r="I23" s="68"/>
      <c r="J23" s="68"/>
      <c r="K23" s="63"/>
    </row>
    <row r="24" spans="1:11" ht="15.75">
      <c r="A24" t="s">
        <v>462</v>
      </c>
      <c r="B24" t="s">
        <v>629</v>
      </c>
      <c r="C24" t="s">
        <v>630</v>
      </c>
      <c r="D24" t="s">
        <v>631</v>
      </c>
      <c r="E24" s="68"/>
      <c r="F24" s="68"/>
      <c r="G24" s="68"/>
      <c r="H24" s="68"/>
      <c r="I24" s="68"/>
      <c r="J24" s="68"/>
      <c r="K24" s="63"/>
    </row>
    <row r="25" spans="1:11" ht="15.75">
      <c r="A25" t="s">
        <v>462</v>
      </c>
      <c r="B25" t="s">
        <v>629</v>
      </c>
      <c r="C25" t="s">
        <v>632</v>
      </c>
      <c r="D25" t="s">
        <v>633</v>
      </c>
      <c r="E25" s="65"/>
      <c r="F25" s="65"/>
      <c r="G25" s="65"/>
      <c r="H25" s="65"/>
      <c r="I25" s="65"/>
      <c r="J25" s="65"/>
      <c r="K25" s="66"/>
    </row>
    <row r="26" spans="1:11" ht="15.75">
      <c r="A26" t="s">
        <v>462</v>
      </c>
      <c r="B26" t="s">
        <v>634</v>
      </c>
      <c r="C26" t="s">
        <v>635</v>
      </c>
      <c r="D26" t="s">
        <v>636</v>
      </c>
      <c r="E26" s="68"/>
      <c r="F26" s="68"/>
      <c r="G26" s="68"/>
      <c r="H26" s="68"/>
      <c r="I26" s="68"/>
      <c r="J26" s="68"/>
      <c r="K26" s="63"/>
    </row>
    <row r="27" spans="1:11" ht="15.75">
      <c r="A27" t="s">
        <v>462</v>
      </c>
      <c r="B27" t="s">
        <v>634</v>
      </c>
      <c r="C27" t="s">
        <v>637</v>
      </c>
      <c r="D27" t="s">
        <v>638</v>
      </c>
      <c r="E27" s="65"/>
      <c r="F27" s="65"/>
      <c r="G27" s="65"/>
      <c r="H27" s="65"/>
      <c r="I27" s="65"/>
      <c r="J27" s="65"/>
      <c r="K27" s="66"/>
    </row>
    <row r="28" spans="1:11" ht="15.75">
      <c r="A28" t="s">
        <v>462</v>
      </c>
      <c r="B28" t="s">
        <v>634</v>
      </c>
      <c r="C28" t="s">
        <v>639</v>
      </c>
      <c r="D28" t="s">
        <v>640</v>
      </c>
      <c r="E28" s="68"/>
      <c r="F28" s="68"/>
      <c r="G28" s="68"/>
      <c r="H28" s="68"/>
      <c r="I28" s="68"/>
      <c r="J28" s="68"/>
      <c r="K28" s="63"/>
    </row>
    <row r="29" spans="1:11" ht="15.75">
      <c r="A29" t="s">
        <v>462</v>
      </c>
      <c r="B29" t="s">
        <v>634</v>
      </c>
      <c r="C29" t="s">
        <v>641</v>
      </c>
      <c r="D29" t="s">
        <v>642</v>
      </c>
      <c r="E29" s="65"/>
      <c r="F29" s="65"/>
      <c r="G29" s="65"/>
      <c r="H29" s="65"/>
      <c r="I29" s="65"/>
      <c r="J29" s="65"/>
      <c r="K29" s="66"/>
    </row>
    <row r="30" spans="1:11" ht="15.75">
      <c r="A30" t="s">
        <v>462</v>
      </c>
      <c r="B30" t="s">
        <v>643</v>
      </c>
      <c r="C30" t="s">
        <v>644</v>
      </c>
      <c r="D30" t="s">
        <v>645</v>
      </c>
      <c r="E30" s="68"/>
      <c r="F30" s="68"/>
      <c r="G30" s="68"/>
      <c r="H30" s="68"/>
      <c r="I30" s="68"/>
      <c r="J30" s="68"/>
      <c r="K30" s="63"/>
    </row>
    <row r="31" spans="1:11" ht="15.75">
      <c r="A31" t="s">
        <v>462</v>
      </c>
      <c r="B31" t="s">
        <v>643</v>
      </c>
      <c r="C31" t="s">
        <v>646</v>
      </c>
      <c r="D31" t="s">
        <v>647</v>
      </c>
      <c r="E31" s="65"/>
      <c r="F31" s="65"/>
      <c r="G31" s="65"/>
      <c r="H31" s="65"/>
      <c r="I31" s="65"/>
      <c r="J31" s="65"/>
      <c r="K31" s="66"/>
    </row>
    <row r="32" spans="1:11" ht="15.75">
      <c r="A32" t="s">
        <v>462</v>
      </c>
      <c r="B32" t="s">
        <v>643</v>
      </c>
      <c r="C32" t="s">
        <v>648</v>
      </c>
      <c r="D32" t="s">
        <v>649</v>
      </c>
      <c r="E32" s="68"/>
      <c r="F32" s="68"/>
      <c r="G32" s="68"/>
      <c r="H32" s="68"/>
      <c r="I32" s="68"/>
      <c r="J32" s="68"/>
      <c r="K32" s="63"/>
    </row>
    <row r="33" spans="1:11" ht="15.75">
      <c r="A33" t="s">
        <v>462</v>
      </c>
      <c r="B33" t="s">
        <v>650</v>
      </c>
      <c r="C33" t="s">
        <v>651</v>
      </c>
      <c r="D33" t="s">
        <v>652</v>
      </c>
      <c r="E33" s="65"/>
      <c r="F33" s="65"/>
      <c r="G33" s="65"/>
      <c r="H33" s="65"/>
      <c r="I33" s="65"/>
      <c r="J33" s="65"/>
      <c r="K33" s="66"/>
    </row>
    <row r="34" spans="1:11" ht="15.75">
      <c r="A34" t="s">
        <v>462</v>
      </c>
      <c r="B34" t="s">
        <v>650</v>
      </c>
      <c r="C34" t="s">
        <v>653</v>
      </c>
      <c r="D34" t="s">
        <v>654</v>
      </c>
      <c r="E34" s="68"/>
      <c r="F34" s="68"/>
      <c r="G34" s="68"/>
      <c r="H34" s="68"/>
      <c r="I34" s="68"/>
      <c r="J34" s="68"/>
      <c r="K34" s="63"/>
    </row>
    <row r="35" spans="1:11" ht="15.75">
      <c r="A35" t="s">
        <v>462</v>
      </c>
      <c r="B35" t="s">
        <v>259</v>
      </c>
      <c r="C35" t="s">
        <v>655</v>
      </c>
      <c r="D35" t="s">
        <v>656</v>
      </c>
      <c r="E35" s="65"/>
      <c r="F35" s="65"/>
      <c r="G35" s="65"/>
      <c r="H35" s="65"/>
      <c r="I35" s="65"/>
      <c r="J35" s="65"/>
      <c r="K35" s="66"/>
    </row>
    <row r="36" spans="1:11" ht="15.75">
      <c r="A36" t="s">
        <v>462</v>
      </c>
      <c r="B36" t="s">
        <v>259</v>
      </c>
      <c r="C36" t="s">
        <v>657</v>
      </c>
      <c r="D36" t="s">
        <v>658</v>
      </c>
      <c r="E36" s="68"/>
      <c r="F36" s="68"/>
      <c r="G36" s="68"/>
      <c r="H36" s="68"/>
      <c r="I36" s="68"/>
      <c r="J36" s="68"/>
      <c r="K36" s="63"/>
    </row>
    <row r="37" spans="1:11" ht="15.75">
      <c r="E37" s="68"/>
      <c r="F37" s="68"/>
      <c r="G37" s="68"/>
      <c r="H37" s="68"/>
      <c r="I37" s="68"/>
      <c r="J37" s="68"/>
      <c r="K37" s="63"/>
    </row>
    <row r="38" spans="1:11" ht="15.75">
      <c r="E38" s="68"/>
      <c r="F38" s="68"/>
      <c r="G38" s="68"/>
      <c r="H38" s="68"/>
      <c r="I38" s="68"/>
      <c r="J38" s="68"/>
      <c r="K38" s="63"/>
    </row>
    <row r="39" spans="1:11" ht="15.75">
      <c r="E39" s="68"/>
      <c r="F39" s="68"/>
      <c r="G39" s="68"/>
      <c r="H39" s="68"/>
      <c r="I39" s="68"/>
      <c r="J39" s="68"/>
      <c r="K39" s="63"/>
    </row>
    <row r="40" spans="1:11" ht="15.75">
      <c r="E40" s="68"/>
      <c r="F40" s="68"/>
      <c r="G40" s="68"/>
      <c r="H40" s="68"/>
      <c r="I40" s="68"/>
      <c r="J40" s="68"/>
      <c r="K40" s="63"/>
    </row>
    <row r="41" spans="1:11" ht="15.75">
      <c r="E41" s="68"/>
      <c r="F41" s="68"/>
      <c r="G41" s="68"/>
      <c r="H41" s="68"/>
      <c r="I41" s="68"/>
      <c r="J41" s="68"/>
      <c r="K41" s="63"/>
    </row>
    <row r="42" spans="1:11" ht="15.75">
      <c r="E42" s="68"/>
      <c r="F42" s="68"/>
      <c r="G42" s="68"/>
      <c r="H42" s="68"/>
      <c r="I42" s="68"/>
      <c r="J42" s="68"/>
      <c r="K42" s="63"/>
    </row>
    <row r="43" spans="1:11" ht="15.75">
      <c r="E43" s="68"/>
      <c r="F43" s="68"/>
      <c r="G43" s="68"/>
      <c r="H43" s="68"/>
      <c r="I43" s="68"/>
      <c r="J43" s="68"/>
      <c r="K43" s="63"/>
    </row>
    <row r="44" spans="1:11" ht="15.75">
      <c r="E44" s="68"/>
      <c r="F44" s="68"/>
      <c r="G44" s="68"/>
      <c r="H44" s="68"/>
      <c r="I44" s="68"/>
      <c r="J44" s="68"/>
      <c r="K44" s="63"/>
    </row>
    <row r="45" spans="1:11" ht="15.75">
      <c r="E45" s="68"/>
      <c r="F45" s="68"/>
      <c r="G45" s="68"/>
      <c r="H45" s="68"/>
      <c r="I45" s="68"/>
      <c r="J45" s="68"/>
      <c r="K45" s="63"/>
    </row>
    <row r="46" spans="1:11" ht="15.75">
      <c r="E46" s="68"/>
      <c r="F46" s="68"/>
      <c r="G46" s="68"/>
      <c r="H46" s="68"/>
      <c r="I46" s="68"/>
      <c r="J46" s="68"/>
      <c r="K46" s="63"/>
    </row>
    <row r="47" spans="1:11" ht="15.75">
      <c r="E47" s="68"/>
      <c r="F47" s="68"/>
      <c r="G47" s="68"/>
      <c r="H47" s="68"/>
      <c r="I47" s="68"/>
      <c r="J47" s="68"/>
      <c r="K47" s="63"/>
    </row>
    <row r="48" spans="1:11" ht="15.75">
      <c r="E48" s="68"/>
      <c r="F48" s="68"/>
      <c r="G48" s="68"/>
      <c r="H48" s="68"/>
      <c r="I48" s="68"/>
      <c r="J48" s="68"/>
      <c r="K48" s="63"/>
    </row>
    <row r="49" spans="5:11" ht="15.75">
      <c r="E49" s="68"/>
      <c r="F49" s="68"/>
      <c r="G49" s="68"/>
      <c r="H49" s="68"/>
      <c r="I49" s="68"/>
      <c r="J49" s="68"/>
      <c r="K49" s="63"/>
    </row>
    <row r="50" spans="5:11" ht="15.75">
      <c r="E50" s="68"/>
      <c r="F50" s="68"/>
      <c r="G50" s="68"/>
      <c r="H50" s="68"/>
      <c r="I50" s="68"/>
      <c r="J50" s="68"/>
      <c r="K50" s="63"/>
    </row>
    <row r="51" spans="5:11" ht="15.75">
      <c r="E51" s="68"/>
      <c r="F51" s="68"/>
      <c r="G51" s="68"/>
      <c r="H51" s="68"/>
      <c r="I51" s="68"/>
      <c r="J51" s="68"/>
      <c r="K51" s="63"/>
    </row>
    <row r="52" spans="5:11" ht="15.75">
      <c r="E52" s="68"/>
      <c r="F52" s="68"/>
      <c r="G52" s="68"/>
      <c r="H52" s="68"/>
      <c r="I52" s="68"/>
      <c r="J52" s="68"/>
      <c r="K52" s="63"/>
    </row>
    <row r="53" spans="5:11" ht="15.75">
      <c r="E53" s="68"/>
      <c r="F53" s="68"/>
      <c r="G53" s="68"/>
      <c r="H53" s="68"/>
      <c r="I53" s="68"/>
      <c r="J53" s="68"/>
      <c r="K53" s="63"/>
    </row>
    <row r="54" spans="5:11" ht="15.75">
      <c r="E54" s="68"/>
      <c r="F54" s="68"/>
      <c r="G54" s="68"/>
      <c r="H54" s="68"/>
      <c r="I54" s="68"/>
      <c r="J54" s="68"/>
      <c r="K54" s="63"/>
    </row>
    <row r="55" spans="5:11" ht="15.75">
      <c r="E55" s="68"/>
      <c r="F55" s="68"/>
      <c r="G55" s="68"/>
      <c r="H55" s="68"/>
      <c r="I55" s="68"/>
      <c r="J55" s="68"/>
      <c r="K55" s="63"/>
    </row>
    <row r="56" spans="5:11" ht="15.75">
      <c r="E56" s="68"/>
      <c r="F56" s="68"/>
      <c r="G56" s="68"/>
      <c r="H56" s="68"/>
      <c r="I56" s="68"/>
      <c r="J56" s="68"/>
      <c r="K56" s="63"/>
    </row>
    <row r="57" spans="5:11" ht="15.75">
      <c r="E57" s="68"/>
      <c r="F57" s="68"/>
      <c r="G57" s="68"/>
      <c r="H57" s="68"/>
      <c r="I57" s="68"/>
      <c r="J57" s="68"/>
      <c r="K57" s="63"/>
    </row>
    <row r="58" spans="5:11" ht="15.75">
      <c r="E58" s="68"/>
      <c r="F58" s="68"/>
      <c r="G58" s="68"/>
      <c r="H58" s="68"/>
      <c r="I58" s="68"/>
      <c r="J58" s="68"/>
      <c r="K58" s="63"/>
    </row>
    <row r="59" spans="5:11" ht="15.75">
      <c r="E59" s="68"/>
      <c r="F59" s="68"/>
      <c r="G59" s="68"/>
      <c r="H59" s="68"/>
      <c r="I59" s="68"/>
      <c r="J59" s="68"/>
      <c r="K59" s="63"/>
    </row>
    <row r="60" spans="5:11" ht="15.75">
      <c r="E60" s="68"/>
      <c r="F60" s="68"/>
      <c r="G60" s="68"/>
      <c r="H60" s="68"/>
      <c r="I60" s="68"/>
      <c r="J60" s="68"/>
      <c r="K60" s="63"/>
    </row>
    <row r="61" spans="5:11" ht="15.75">
      <c r="E61" s="68"/>
      <c r="F61" s="68"/>
      <c r="G61" s="68"/>
      <c r="H61" s="68"/>
      <c r="I61" s="68"/>
      <c r="J61" s="68"/>
      <c r="K61" s="63"/>
    </row>
    <row r="62" spans="5:11" ht="15.75">
      <c r="E62" s="68"/>
      <c r="F62" s="68"/>
      <c r="G62" s="68"/>
      <c r="H62" s="68"/>
      <c r="I62" s="68"/>
      <c r="J62" s="68"/>
      <c r="K62" s="63"/>
    </row>
    <row r="63" spans="5:11" ht="15.75">
      <c r="E63" s="68"/>
      <c r="F63" s="68"/>
      <c r="G63" s="68"/>
      <c r="H63" s="68"/>
      <c r="I63" s="68"/>
      <c r="J63" s="68"/>
      <c r="K63" s="63"/>
    </row>
    <row r="64" spans="5:11" ht="15.75">
      <c r="E64" s="68"/>
      <c r="F64" s="68"/>
      <c r="G64" s="68"/>
      <c r="H64" s="68"/>
      <c r="I64" s="68"/>
      <c r="J64" s="68"/>
      <c r="K64" s="63"/>
    </row>
    <row r="65" spans="1:11" ht="15.75">
      <c r="E65" s="68"/>
      <c r="F65" s="68"/>
      <c r="G65" s="68"/>
      <c r="H65" s="68"/>
      <c r="I65" s="68"/>
      <c r="J65" s="68"/>
      <c r="K65" s="63"/>
    </row>
    <row r="66" spans="1:11" ht="15.75">
      <c r="E66" s="68"/>
      <c r="F66" s="68"/>
      <c r="G66" s="68"/>
      <c r="H66" s="68"/>
      <c r="I66" s="68"/>
      <c r="J66" s="68"/>
      <c r="K66" s="63"/>
    </row>
    <row r="67" spans="1:11" ht="15.75">
      <c r="A67" s="79" t="s">
        <v>462</v>
      </c>
      <c r="B67" s="79"/>
      <c r="C67" s="79" t="s">
        <v>659</v>
      </c>
      <c r="D67" s="80" t="s">
        <v>660</v>
      </c>
      <c r="E67" s="65"/>
      <c r="F67" s="65"/>
      <c r="G67" s="65"/>
      <c r="H67" s="65"/>
      <c r="I67" s="65"/>
      <c r="J67" s="65"/>
      <c r="K67" s="66"/>
    </row>
    <row r="68" spans="1:11" ht="15.75">
      <c r="A68" s="81" t="s">
        <v>462</v>
      </c>
      <c r="B68" s="81"/>
      <c r="C68" s="81" t="s">
        <v>661</v>
      </c>
      <c r="D68" s="82" t="s">
        <v>662</v>
      </c>
      <c r="E68" s="68"/>
      <c r="F68" s="68"/>
      <c r="G68" s="68"/>
      <c r="H68" s="68"/>
      <c r="I68" s="68"/>
      <c r="J68" s="68"/>
      <c r="K68" s="63"/>
    </row>
    <row r="69" spans="1:11" ht="15.75">
      <c r="A69" s="79" t="s">
        <v>462</v>
      </c>
      <c r="B69" s="79"/>
      <c r="C69" s="79" t="s">
        <v>663</v>
      </c>
      <c r="D69" s="80" t="s">
        <v>664</v>
      </c>
      <c r="E69" s="65"/>
      <c r="F69" s="65"/>
      <c r="G69" s="65"/>
      <c r="H69" s="65"/>
      <c r="I69" s="65"/>
      <c r="J69" s="65"/>
      <c r="K69" s="66"/>
    </row>
    <row r="70" spans="1:11" ht="15.75">
      <c r="A70" s="81" t="s">
        <v>438</v>
      </c>
      <c r="B70" s="81"/>
      <c r="C70" s="81" t="s">
        <v>665</v>
      </c>
      <c r="D70" s="82" t="s">
        <v>666</v>
      </c>
      <c r="E70" s="68"/>
      <c r="F70" s="68"/>
      <c r="G70" s="68"/>
      <c r="H70" s="68"/>
      <c r="I70" s="68"/>
      <c r="J70" s="68"/>
      <c r="K70" s="63"/>
    </row>
    <row r="71" spans="1:11" ht="24">
      <c r="A71" s="77" t="s">
        <v>454</v>
      </c>
      <c r="B71" s="77"/>
      <c r="C71" s="77"/>
      <c r="D71" s="78"/>
      <c r="E71" s="65"/>
      <c r="F71" s="65"/>
      <c r="G71" s="65"/>
      <c r="H71" s="65"/>
      <c r="I71" s="65"/>
      <c r="J71" s="65"/>
      <c r="K71" s="66"/>
    </row>
    <row r="72" spans="1:11" ht="15.75">
      <c r="A72" s="81" t="s">
        <v>462</v>
      </c>
      <c r="B72" s="81"/>
      <c r="C72" s="81" t="s">
        <v>667</v>
      </c>
      <c r="D72" s="82" t="s">
        <v>668</v>
      </c>
      <c r="E72" s="68"/>
      <c r="F72" s="68"/>
      <c r="G72" s="68"/>
      <c r="H72" s="68"/>
      <c r="I72" s="68"/>
      <c r="J72" s="68"/>
      <c r="K72" s="63"/>
    </row>
    <row r="73" spans="1:11" ht="15.75">
      <c r="A73" s="81" t="s">
        <v>462</v>
      </c>
      <c r="B73" s="81"/>
      <c r="C73" s="81" t="s">
        <v>669</v>
      </c>
      <c r="D73" s="82" t="s">
        <v>670</v>
      </c>
      <c r="E73" s="68"/>
      <c r="F73" s="68"/>
      <c r="G73" s="68"/>
      <c r="H73" s="68"/>
      <c r="I73" s="68"/>
      <c r="J73" s="68"/>
      <c r="K73" s="63"/>
    </row>
    <row r="74" spans="1:11" ht="15.75">
      <c r="A74" s="79" t="s">
        <v>462</v>
      </c>
      <c r="B74" s="79"/>
      <c r="C74" s="79" t="s">
        <v>671</v>
      </c>
      <c r="D74" s="80" t="s">
        <v>672</v>
      </c>
      <c r="E74" s="65"/>
      <c r="F74" s="65"/>
      <c r="G74" s="65"/>
      <c r="H74" s="65"/>
      <c r="I74" s="65"/>
      <c r="J74" s="65"/>
      <c r="K74" s="66"/>
    </row>
    <row r="75" spans="1:11" ht="15.75">
      <c r="A75" s="81" t="s">
        <v>410</v>
      </c>
      <c r="B75" s="81"/>
      <c r="C75" s="81" t="s">
        <v>673</v>
      </c>
      <c r="D75" s="82" t="s">
        <v>674</v>
      </c>
      <c r="E75" s="68"/>
      <c r="F75" s="68"/>
      <c r="G75" s="68"/>
      <c r="H75" s="68"/>
      <c r="I75" s="68"/>
      <c r="J75" s="68"/>
      <c r="K75" s="63"/>
    </row>
    <row r="76" spans="1:11" ht="15.75">
      <c r="A76" s="79" t="s">
        <v>424</v>
      </c>
      <c r="B76" s="79"/>
      <c r="C76" s="79" t="s">
        <v>675</v>
      </c>
      <c r="D76" s="80" t="s">
        <v>676</v>
      </c>
      <c r="E76" s="65"/>
      <c r="F76" s="65"/>
      <c r="G76" s="65"/>
      <c r="H76" s="65"/>
      <c r="I76" s="65"/>
      <c r="J76" s="65"/>
      <c r="K76" s="66"/>
    </row>
    <row r="77" spans="1:11" ht="24">
      <c r="A77" s="83" t="s">
        <v>409</v>
      </c>
      <c r="B77" s="83"/>
      <c r="C77" s="83"/>
      <c r="D77" s="84"/>
      <c r="E77" s="68"/>
      <c r="F77" s="68"/>
      <c r="G77" s="68"/>
      <c r="H77" s="68"/>
      <c r="I77" s="68"/>
      <c r="J77" s="68"/>
      <c r="K77" s="63"/>
    </row>
    <row r="78" spans="1:11" ht="15.75">
      <c r="A78" s="79" t="s">
        <v>410</v>
      </c>
      <c r="B78" s="79"/>
      <c r="C78" s="79" t="s">
        <v>677</v>
      </c>
      <c r="D78" s="80" t="s">
        <v>678</v>
      </c>
      <c r="E78" s="65"/>
      <c r="F78" s="65"/>
      <c r="G78" s="65"/>
      <c r="H78" s="65"/>
      <c r="I78" s="65"/>
      <c r="J78" s="65"/>
      <c r="K78" s="66"/>
    </row>
    <row r="79" spans="1:11">
      <c r="A79" s="81" t="s">
        <v>410</v>
      </c>
      <c r="B79" s="81"/>
      <c r="C79" s="81" t="s">
        <v>679</v>
      </c>
      <c r="D79" s="82" t="s">
        <v>680</v>
      </c>
      <c r="E79" s="62"/>
      <c r="F79" s="62"/>
      <c r="G79" s="62"/>
      <c r="H79" s="62"/>
      <c r="I79" s="62"/>
      <c r="J79" s="62"/>
      <c r="K79" s="63"/>
    </row>
    <row r="80" spans="1:11" ht="15.75">
      <c r="A80" s="79" t="s">
        <v>410</v>
      </c>
      <c r="B80" s="79"/>
      <c r="C80" s="79" t="s">
        <v>681</v>
      </c>
      <c r="D80" s="80" t="s">
        <v>682</v>
      </c>
      <c r="E80" s="65"/>
      <c r="F80" s="65"/>
      <c r="G80" s="65"/>
      <c r="H80" s="65"/>
      <c r="I80" s="65"/>
      <c r="J80" s="65"/>
      <c r="K80" s="66"/>
    </row>
    <row r="81" spans="1:11" ht="15.75">
      <c r="A81" s="81" t="s">
        <v>410</v>
      </c>
      <c r="B81" s="81"/>
      <c r="C81" s="81" t="s">
        <v>683</v>
      </c>
      <c r="D81" s="82" t="s">
        <v>684</v>
      </c>
      <c r="E81" s="68"/>
      <c r="F81" s="68"/>
      <c r="G81" s="68"/>
      <c r="H81" s="68"/>
      <c r="I81" s="68"/>
      <c r="J81" s="68"/>
      <c r="K81" s="63"/>
    </row>
    <row r="82" spans="1:11" ht="15.75">
      <c r="A82" s="79" t="s">
        <v>410</v>
      </c>
      <c r="B82" s="79"/>
      <c r="C82" s="79" t="s">
        <v>685</v>
      </c>
      <c r="D82" s="80" t="s">
        <v>686</v>
      </c>
      <c r="E82" s="65"/>
      <c r="F82" s="65"/>
      <c r="G82" s="65"/>
      <c r="H82" s="65"/>
      <c r="I82" s="65"/>
      <c r="J82" s="65"/>
      <c r="K82" s="66"/>
    </row>
    <row r="83" spans="1:11" ht="24">
      <c r="A83" s="83" t="s">
        <v>416</v>
      </c>
      <c r="B83" s="83"/>
      <c r="C83" s="83"/>
      <c r="D83" s="84"/>
      <c r="E83" s="68"/>
      <c r="F83" s="68"/>
      <c r="G83" s="68"/>
      <c r="H83" s="68"/>
      <c r="I83" s="68"/>
      <c r="J83" s="68"/>
      <c r="K83" s="63"/>
    </row>
    <row r="84" spans="1:11" ht="15.75">
      <c r="A84" s="79" t="s">
        <v>410</v>
      </c>
      <c r="B84" s="79"/>
      <c r="C84" s="79" t="s">
        <v>687</v>
      </c>
      <c r="D84" s="80" t="s">
        <v>688</v>
      </c>
      <c r="E84" s="65"/>
      <c r="F84" s="65"/>
      <c r="G84" s="65"/>
      <c r="H84" s="65"/>
      <c r="I84" s="65"/>
      <c r="J84" s="65"/>
      <c r="K84" s="66"/>
    </row>
    <row r="85" spans="1:11" ht="15.75">
      <c r="A85" s="81" t="s">
        <v>410</v>
      </c>
      <c r="B85" s="81"/>
      <c r="C85" s="81" t="s">
        <v>689</v>
      </c>
      <c r="D85" s="82" t="s">
        <v>690</v>
      </c>
      <c r="E85" s="68"/>
      <c r="F85" s="68"/>
      <c r="G85" s="68"/>
      <c r="H85" s="68"/>
      <c r="I85" s="68"/>
      <c r="J85" s="68"/>
      <c r="K85" s="63"/>
    </row>
    <row r="86" spans="1:11" ht="15.75">
      <c r="A86" s="79" t="s">
        <v>410</v>
      </c>
      <c r="B86" s="79"/>
      <c r="C86" s="79" t="s">
        <v>691</v>
      </c>
      <c r="D86" s="80" t="s">
        <v>692</v>
      </c>
      <c r="E86" s="65"/>
      <c r="F86" s="65"/>
      <c r="G86" s="65"/>
      <c r="H86" s="65"/>
      <c r="I86" s="65"/>
      <c r="J86" s="65"/>
      <c r="K86" s="66"/>
    </row>
    <row r="87" spans="1:11" ht="15.75">
      <c r="A87" s="81" t="s">
        <v>438</v>
      </c>
      <c r="B87" s="81"/>
      <c r="C87" s="81" t="s">
        <v>693</v>
      </c>
      <c r="D87" s="82" t="s">
        <v>694</v>
      </c>
      <c r="E87" s="68"/>
      <c r="F87" s="68"/>
      <c r="G87" s="68"/>
      <c r="H87" s="68"/>
      <c r="I87" s="68"/>
      <c r="J87" s="68"/>
      <c r="K87" s="63"/>
    </row>
    <row r="88" spans="1:11" ht="15.75">
      <c r="A88" s="79" t="s">
        <v>438</v>
      </c>
      <c r="B88" s="79"/>
      <c r="C88" s="79" t="s">
        <v>695</v>
      </c>
      <c r="D88" s="80" t="s">
        <v>696</v>
      </c>
      <c r="E88" s="65"/>
      <c r="F88" s="65"/>
      <c r="G88" s="65"/>
      <c r="H88" s="65"/>
      <c r="I88" s="65"/>
      <c r="J88" s="65"/>
      <c r="K88" s="66"/>
    </row>
    <row r="89" spans="1:11" ht="15.75">
      <c r="A89" s="81" t="s">
        <v>477</v>
      </c>
      <c r="B89" s="81"/>
      <c r="C89" s="81" t="s">
        <v>697</v>
      </c>
      <c r="D89" s="82" t="s">
        <v>698</v>
      </c>
      <c r="E89" s="68"/>
      <c r="F89" s="68"/>
      <c r="G89" s="68"/>
      <c r="H89" s="68"/>
      <c r="I89" s="68"/>
      <c r="J89" s="68"/>
      <c r="K89" s="63"/>
    </row>
    <row r="90" spans="1:11" ht="24">
      <c r="A90" s="77" t="s">
        <v>699</v>
      </c>
      <c r="B90" s="77"/>
      <c r="C90" s="77"/>
      <c r="D90" s="78"/>
      <c r="E90" s="65"/>
      <c r="F90" s="65"/>
      <c r="G90" s="65"/>
      <c r="H90" s="65"/>
      <c r="I90" s="65"/>
      <c r="J90" s="65"/>
      <c r="K90" s="66"/>
    </row>
    <row r="91" spans="1:11">
      <c r="A91" s="81" t="s">
        <v>424</v>
      </c>
      <c r="B91" s="81"/>
      <c r="C91" s="81" t="s">
        <v>700</v>
      </c>
      <c r="D91" s="82" t="s">
        <v>701</v>
      </c>
      <c r="E91" s="62"/>
      <c r="F91" s="62"/>
      <c r="G91" s="62"/>
      <c r="H91" s="62"/>
      <c r="I91" s="62"/>
      <c r="J91" s="62"/>
      <c r="K91" s="63"/>
    </row>
    <row r="92" spans="1:11" ht="15.75">
      <c r="A92" s="79" t="s">
        <v>424</v>
      </c>
      <c r="B92" s="79"/>
      <c r="C92" s="79" t="s">
        <v>702</v>
      </c>
      <c r="D92" s="80" t="s">
        <v>703</v>
      </c>
      <c r="E92" s="65"/>
      <c r="F92" s="65"/>
      <c r="G92" s="65"/>
      <c r="H92" s="65"/>
      <c r="I92" s="65"/>
      <c r="J92" s="65"/>
      <c r="K92" s="66"/>
    </row>
    <row r="93" spans="1:11">
      <c r="A93" s="81" t="s">
        <v>424</v>
      </c>
      <c r="B93" s="81"/>
      <c r="C93" s="81" t="s">
        <v>704</v>
      </c>
      <c r="D93" s="82" t="s">
        <v>705</v>
      </c>
      <c r="E93" s="62"/>
      <c r="F93" s="62"/>
      <c r="G93" s="62"/>
      <c r="H93" s="62"/>
      <c r="I93" s="62"/>
      <c r="J93" s="62"/>
      <c r="K93" s="63"/>
    </row>
    <row r="94" spans="1:11" ht="15.75">
      <c r="A94" s="79" t="s">
        <v>424</v>
      </c>
      <c r="B94" s="79"/>
      <c r="C94" s="79" t="s">
        <v>706</v>
      </c>
      <c r="D94" s="80" t="s">
        <v>707</v>
      </c>
      <c r="E94" s="65"/>
      <c r="F94" s="65"/>
      <c r="G94" s="65"/>
      <c r="H94" s="65"/>
      <c r="I94" s="65"/>
      <c r="J94" s="65"/>
      <c r="K94" s="66"/>
    </row>
    <row r="95" spans="1:11" ht="15.75">
      <c r="A95" s="81" t="s">
        <v>424</v>
      </c>
      <c r="B95" s="81"/>
      <c r="C95" s="81" t="s">
        <v>708</v>
      </c>
      <c r="D95" s="82" t="s">
        <v>709</v>
      </c>
      <c r="E95" s="68"/>
      <c r="F95" s="68"/>
      <c r="G95" s="68"/>
      <c r="H95" s="68"/>
      <c r="I95" s="68"/>
      <c r="J95" s="68"/>
      <c r="K95" s="63"/>
    </row>
    <row r="96" spans="1:11" ht="15.75">
      <c r="A96" s="79" t="s">
        <v>424</v>
      </c>
      <c r="B96" s="79"/>
      <c r="C96" s="79" t="s">
        <v>710</v>
      </c>
      <c r="D96" s="80" t="s">
        <v>711</v>
      </c>
      <c r="E96" s="65"/>
      <c r="F96" s="65"/>
      <c r="G96" s="65"/>
      <c r="H96" s="65"/>
      <c r="I96" s="65"/>
      <c r="J96" s="65"/>
      <c r="K96" s="66"/>
    </row>
    <row r="97" spans="1:11" ht="24">
      <c r="A97" s="85" t="s">
        <v>712</v>
      </c>
      <c r="B97" s="85"/>
      <c r="C97" s="85"/>
      <c r="D97" s="86"/>
      <c r="E97" s="68"/>
      <c r="F97" s="68"/>
      <c r="G97" s="68"/>
      <c r="H97" s="68"/>
      <c r="I97" s="68"/>
      <c r="J97" s="68"/>
      <c r="K97" s="63"/>
    </row>
    <row r="98" spans="1:11" ht="15.75">
      <c r="A98" s="87" t="s">
        <v>438</v>
      </c>
      <c r="B98" s="87"/>
      <c r="C98" s="87" t="s">
        <v>713</v>
      </c>
      <c r="D98" s="88" t="s">
        <v>714</v>
      </c>
      <c r="E98" s="65"/>
      <c r="F98" s="65"/>
      <c r="G98" s="65"/>
      <c r="H98" s="65"/>
      <c r="I98" s="65"/>
      <c r="J98" s="65"/>
      <c r="K98" s="66"/>
    </row>
    <row r="99" spans="1:11" ht="15.75">
      <c r="A99" s="87" t="s">
        <v>438</v>
      </c>
      <c r="B99" s="87"/>
      <c r="C99" s="87" t="s">
        <v>715</v>
      </c>
      <c r="D99" s="88" t="s">
        <v>716</v>
      </c>
      <c r="E99" s="68"/>
      <c r="F99" s="68"/>
      <c r="G99" s="68"/>
      <c r="H99" s="68"/>
      <c r="I99" s="68"/>
      <c r="J99" s="68"/>
      <c r="K99" s="63"/>
    </row>
    <row r="100" spans="1:11" ht="15.75">
      <c r="A100" s="87" t="s">
        <v>438</v>
      </c>
      <c r="B100" s="87"/>
      <c r="C100" s="87" t="s">
        <v>717</v>
      </c>
      <c r="D100" s="88" t="s">
        <v>718</v>
      </c>
      <c r="E100" s="65"/>
      <c r="F100" s="65"/>
      <c r="G100" s="65"/>
      <c r="H100" s="65"/>
      <c r="I100" s="65"/>
      <c r="J100" s="65"/>
      <c r="K100" s="66"/>
    </row>
    <row r="101" spans="1:11" ht="15.75">
      <c r="A101" s="87" t="s">
        <v>438</v>
      </c>
      <c r="B101" s="87"/>
      <c r="C101" s="87" t="s">
        <v>719</v>
      </c>
      <c r="D101" s="88" t="s">
        <v>720</v>
      </c>
      <c r="E101" s="68"/>
      <c r="F101" s="68"/>
      <c r="G101" s="68"/>
      <c r="H101" s="68"/>
      <c r="I101" s="68"/>
      <c r="J101" s="68"/>
      <c r="K101" s="63"/>
    </row>
    <row r="102" spans="1:11" ht="15.75">
      <c r="A102" s="87" t="s">
        <v>438</v>
      </c>
      <c r="B102" s="87"/>
      <c r="C102" s="87" t="s">
        <v>721</v>
      </c>
      <c r="D102" s="88" t="s">
        <v>722</v>
      </c>
      <c r="E102" s="65"/>
      <c r="F102" s="65"/>
      <c r="G102" s="65"/>
      <c r="H102" s="65"/>
      <c r="I102" s="65"/>
      <c r="J102" s="65"/>
      <c r="K102" s="66"/>
    </row>
    <row r="103" spans="1:11" ht="24">
      <c r="A103" s="83" t="s">
        <v>723</v>
      </c>
      <c r="B103" s="83"/>
      <c r="C103" s="83"/>
      <c r="D103" s="84"/>
      <c r="E103" s="68"/>
      <c r="F103" s="68"/>
      <c r="G103" s="68"/>
      <c r="H103" s="68"/>
      <c r="I103" s="68"/>
      <c r="J103" s="68"/>
      <c r="K103" s="63"/>
    </row>
    <row r="104" spans="1:11" ht="15.75">
      <c r="A104" s="79" t="s">
        <v>438</v>
      </c>
      <c r="B104" s="79"/>
      <c r="C104" s="79" t="s">
        <v>724</v>
      </c>
      <c r="D104" s="80" t="s">
        <v>725</v>
      </c>
      <c r="E104" s="65"/>
      <c r="F104" s="65"/>
      <c r="G104" s="65"/>
      <c r="H104" s="65"/>
      <c r="I104" s="65"/>
      <c r="J104" s="65"/>
      <c r="K104" s="66"/>
    </row>
    <row r="105" spans="1:11" ht="15.75">
      <c r="A105" s="81" t="s">
        <v>438</v>
      </c>
      <c r="B105" s="81"/>
      <c r="C105" s="81" t="s">
        <v>726</v>
      </c>
      <c r="D105" s="82" t="s">
        <v>727</v>
      </c>
      <c r="E105" s="68"/>
      <c r="F105" s="68"/>
      <c r="G105" s="68"/>
      <c r="H105" s="68"/>
      <c r="I105" s="68"/>
      <c r="J105" s="68"/>
      <c r="K105" s="63"/>
    </row>
    <row r="106" spans="1:11" ht="15.75">
      <c r="A106" s="79" t="s">
        <v>438</v>
      </c>
      <c r="B106" s="79"/>
      <c r="C106" s="79" t="s">
        <v>728</v>
      </c>
      <c r="D106" s="80" t="s">
        <v>729</v>
      </c>
      <c r="E106" s="65"/>
      <c r="F106" s="65"/>
      <c r="G106" s="65"/>
      <c r="H106" s="65"/>
      <c r="I106" s="65"/>
      <c r="J106" s="65"/>
      <c r="K106" s="66"/>
    </row>
    <row r="107" spans="1:11" ht="15.75">
      <c r="A107" s="81" t="s">
        <v>438</v>
      </c>
      <c r="B107" s="81"/>
      <c r="C107" s="81" t="s">
        <v>730</v>
      </c>
      <c r="D107" s="82" t="s">
        <v>731</v>
      </c>
      <c r="E107" s="68"/>
      <c r="F107" s="68"/>
      <c r="G107" s="68"/>
      <c r="H107" s="68"/>
      <c r="I107" s="68"/>
      <c r="J107" s="68"/>
      <c r="K107" s="63"/>
    </row>
    <row r="108" spans="1:11" ht="24">
      <c r="A108" s="77" t="s">
        <v>450</v>
      </c>
      <c r="B108" s="77"/>
      <c r="C108" s="77"/>
      <c r="D108" s="78"/>
      <c r="E108" s="65"/>
      <c r="F108" s="65"/>
      <c r="G108" s="65"/>
      <c r="H108" s="65"/>
      <c r="I108" s="65"/>
      <c r="J108" s="65"/>
      <c r="K108" s="66"/>
    </row>
    <row r="109" spans="1:11" ht="15.75">
      <c r="A109" s="81" t="s">
        <v>438</v>
      </c>
      <c r="B109" s="81"/>
      <c r="C109" s="81" t="s">
        <v>732</v>
      </c>
      <c r="D109" s="82" t="s">
        <v>733</v>
      </c>
      <c r="E109" s="68"/>
      <c r="F109" s="68"/>
      <c r="G109" s="68"/>
      <c r="H109" s="68"/>
      <c r="I109" s="68"/>
      <c r="J109" s="68"/>
      <c r="K109" s="63"/>
    </row>
    <row r="110" spans="1:11" ht="15.75">
      <c r="A110" s="79" t="s">
        <v>438</v>
      </c>
      <c r="B110" s="79"/>
      <c r="C110" s="79" t="s">
        <v>734</v>
      </c>
      <c r="D110" s="80" t="s">
        <v>735</v>
      </c>
      <c r="E110" s="65"/>
      <c r="F110" s="65"/>
      <c r="G110" s="65"/>
      <c r="H110" s="65"/>
      <c r="I110" s="65"/>
      <c r="J110" s="65"/>
      <c r="K110" s="66"/>
    </row>
    <row r="111" spans="1:11" ht="15.75">
      <c r="A111" s="81" t="s">
        <v>438</v>
      </c>
      <c r="B111" s="81"/>
      <c r="C111" s="81" t="s">
        <v>736</v>
      </c>
      <c r="D111" s="82" t="s">
        <v>737</v>
      </c>
      <c r="E111" s="68"/>
      <c r="F111" s="68"/>
      <c r="G111" s="68"/>
      <c r="H111" s="68"/>
      <c r="I111" s="68"/>
      <c r="J111" s="68"/>
      <c r="K111" s="63"/>
    </row>
    <row r="112" spans="1:11" ht="15.75">
      <c r="A112" s="79" t="s">
        <v>438</v>
      </c>
      <c r="B112" s="79"/>
      <c r="C112" s="79" t="s">
        <v>738</v>
      </c>
      <c r="D112" s="80" t="s">
        <v>739</v>
      </c>
      <c r="E112" s="65"/>
      <c r="F112" s="65"/>
      <c r="G112" s="65"/>
      <c r="H112" s="65"/>
      <c r="I112" s="65"/>
      <c r="J112" s="65"/>
      <c r="K112" s="66"/>
    </row>
    <row r="113" spans="1:11" ht="24">
      <c r="A113" s="83" t="s">
        <v>461</v>
      </c>
      <c r="B113" s="83"/>
      <c r="C113" s="83"/>
      <c r="D113" s="84"/>
      <c r="E113" s="68"/>
      <c r="F113" s="68"/>
      <c r="G113" s="68"/>
      <c r="H113" s="68"/>
      <c r="I113" s="68"/>
      <c r="J113" s="68"/>
      <c r="K113" s="63"/>
    </row>
    <row r="114" spans="1:11" ht="15.75">
      <c r="A114" s="79" t="s">
        <v>462</v>
      </c>
      <c r="B114" s="79"/>
      <c r="C114" s="79" t="s">
        <v>740</v>
      </c>
      <c r="D114" s="80" t="s">
        <v>741</v>
      </c>
      <c r="E114" s="65"/>
      <c r="F114" s="65"/>
      <c r="G114" s="65"/>
      <c r="H114" s="65"/>
      <c r="I114" s="65"/>
      <c r="J114" s="65"/>
      <c r="K114" s="66"/>
    </row>
    <row r="115" spans="1:11" ht="15.75">
      <c r="A115" s="81" t="s">
        <v>462</v>
      </c>
      <c r="B115" s="81"/>
      <c r="C115" s="81" t="s">
        <v>742</v>
      </c>
      <c r="D115" s="82" t="s">
        <v>743</v>
      </c>
      <c r="E115" s="68"/>
      <c r="F115" s="68"/>
      <c r="G115" s="68"/>
      <c r="H115" s="68"/>
      <c r="I115" s="68"/>
      <c r="J115" s="68"/>
      <c r="K115" s="63"/>
    </row>
    <row r="116" spans="1:11" ht="15.75">
      <c r="A116" s="79" t="s">
        <v>462</v>
      </c>
      <c r="B116" s="79"/>
      <c r="C116" s="79" t="s">
        <v>744</v>
      </c>
      <c r="D116" s="80" t="s">
        <v>745</v>
      </c>
      <c r="E116" s="65"/>
      <c r="F116" s="65"/>
      <c r="G116" s="65"/>
      <c r="H116" s="65"/>
      <c r="I116" s="65"/>
      <c r="J116" s="65"/>
      <c r="K116" s="66"/>
    </row>
    <row r="117" spans="1:11" ht="15.75">
      <c r="A117" s="81" t="s">
        <v>462</v>
      </c>
      <c r="B117" s="81"/>
      <c r="C117" s="81" t="s">
        <v>746</v>
      </c>
      <c r="D117" s="82" t="s">
        <v>747</v>
      </c>
      <c r="E117" s="68"/>
      <c r="F117" s="68"/>
      <c r="G117" s="68"/>
      <c r="H117" s="68"/>
      <c r="I117" s="68"/>
      <c r="J117" s="68"/>
      <c r="K117" s="63"/>
    </row>
    <row r="118" spans="1:11" ht="24">
      <c r="A118" s="77" t="s">
        <v>748</v>
      </c>
      <c r="B118" s="77"/>
      <c r="C118" s="77"/>
      <c r="D118" s="78"/>
      <c r="E118" s="65"/>
      <c r="F118" s="65"/>
      <c r="G118" s="65"/>
      <c r="H118" s="65"/>
      <c r="I118" s="65"/>
      <c r="J118" s="65"/>
      <c r="K118" s="66"/>
    </row>
    <row r="119" spans="1:11" ht="15.75">
      <c r="A119" s="81" t="s">
        <v>394</v>
      </c>
      <c r="B119" s="81"/>
      <c r="C119" s="81" t="s">
        <v>749</v>
      </c>
      <c r="D119" s="82" t="s">
        <v>750</v>
      </c>
      <c r="E119" s="68"/>
      <c r="F119" s="68"/>
      <c r="G119" s="68"/>
      <c r="H119" s="68"/>
      <c r="I119" s="68"/>
      <c r="J119" s="68"/>
      <c r="K119" s="63"/>
    </row>
    <row r="120" spans="1:11" ht="15.75">
      <c r="A120" s="79" t="s">
        <v>394</v>
      </c>
      <c r="B120" s="79"/>
      <c r="C120" s="79" t="s">
        <v>751</v>
      </c>
      <c r="D120" s="80" t="s">
        <v>752</v>
      </c>
      <c r="E120" s="65"/>
      <c r="F120" s="65"/>
      <c r="G120" s="65"/>
      <c r="H120" s="65"/>
      <c r="I120" s="65"/>
      <c r="J120" s="65"/>
      <c r="K120" s="66"/>
    </row>
    <row r="121" spans="1:11" ht="15.75">
      <c r="A121" s="81" t="s">
        <v>394</v>
      </c>
      <c r="B121" s="81"/>
      <c r="C121" s="81" t="s">
        <v>753</v>
      </c>
      <c r="D121" s="82" t="s">
        <v>754</v>
      </c>
      <c r="E121" s="68"/>
      <c r="F121" s="68"/>
      <c r="G121" s="68"/>
      <c r="H121" s="68"/>
      <c r="I121" s="68"/>
      <c r="J121" s="68"/>
      <c r="K121" s="63"/>
    </row>
    <row r="122" spans="1:11" ht="15.75">
      <c r="A122" s="79" t="s">
        <v>394</v>
      </c>
      <c r="B122" s="79"/>
      <c r="C122" s="79" t="s">
        <v>755</v>
      </c>
      <c r="D122" s="80" t="s">
        <v>756</v>
      </c>
      <c r="E122" s="65"/>
      <c r="F122" s="65"/>
      <c r="G122" s="65"/>
      <c r="H122" s="65"/>
      <c r="I122" s="65"/>
      <c r="J122" s="65"/>
      <c r="K122" s="66"/>
    </row>
    <row r="123" spans="1:11" ht="24">
      <c r="A123" s="83" t="s">
        <v>757</v>
      </c>
      <c r="B123" s="83"/>
      <c r="C123" s="83"/>
      <c r="D123" s="84"/>
      <c r="E123" s="68"/>
      <c r="F123" s="68"/>
      <c r="G123" s="68"/>
      <c r="H123" s="68"/>
      <c r="I123" s="68"/>
      <c r="J123" s="68"/>
      <c r="K123" s="63"/>
    </row>
    <row r="124" spans="1:11">
      <c r="A124" s="79" t="s">
        <v>438</v>
      </c>
      <c r="B124" s="79"/>
      <c r="C124" s="79" t="s">
        <v>758</v>
      </c>
      <c r="D124" s="80" t="s">
        <v>759</v>
      </c>
      <c r="E124" s="69"/>
      <c r="F124" s="69"/>
      <c r="G124" s="69"/>
      <c r="H124" s="69"/>
      <c r="I124" s="69"/>
      <c r="J124" s="69"/>
      <c r="K124" s="66"/>
    </row>
    <row r="125" spans="1:11">
      <c r="A125" s="81" t="s">
        <v>477</v>
      </c>
      <c r="B125" s="81"/>
      <c r="C125" s="81" t="s">
        <v>760</v>
      </c>
      <c r="D125" s="82" t="s">
        <v>761</v>
      </c>
      <c r="E125" s="62"/>
      <c r="F125" s="62"/>
      <c r="G125" s="62"/>
      <c r="H125" s="62"/>
      <c r="I125" s="62"/>
      <c r="J125" s="62"/>
      <c r="K125" s="63"/>
    </row>
    <row r="126" spans="1:11">
      <c r="A126" s="79" t="s">
        <v>477</v>
      </c>
      <c r="B126" s="79"/>
      <c r="C126" s="79" t="s">
        <v>762</v>
      </c>
      <c r="D126" s="80" t="s">
        <v>763</v>
      </c>
      <c r="E126" s="69"/>
      <c r="F126" s="69"/>
      <c r="G126" s="69"/>
      <c r="H126" s="69"/>
      <c r="I126" s="69"/>
      <c r="J126" s="69"/>
      <c r="K126" s="66"/>
    </row>
    <row r="127" spans="1:11" ht="24">
      <c r="A127" s="83" t="s">
        <v>764</v>
      </c>
      <c r="B127" s="83"/>
      <c r="C127" s="83"/>
      <c r="D127" s="84"/>
      <c r="E127" s="62"/>
      <c r="F127" s="62"/>
      <c r="G127" s="62"/>
      <c r="H127" s="62"/>
      <c r="I127" s="62"/>
      <c r="J127" s="62"/>
      <c r="K127" s="63"/>
    </row>
    <row r="128" spans="1:11">
      <c r="A128" s="79" t="s">
        <v>445</v>
      </c>
      <c r="B128" s="79"/>
      <c r="C128" s="79" t="s">
        <v>765</v>
      </c>
      <c r="D128" s="80" t="s">
        <v>766</v>
      </c>
      <c r="E128" s="69"/>
      <c r="F128" s="69"/>
      <c r="G128" s="69"/>
      <c r="H128" s="69"/>
      <c r="I128" s="69"/>
      <c r="J128" s="69"/>
      <c r="K128" s="66"/>
    </row>
    <row r="129" spans="1:11" ht="15.75">
      <c r="A129" s="81" t="s">
        <v>445</v>
      </c>
      <c r="B129" s="81"/>
      <c r="C129" s="81" t="s">
        <v>767</v>
      </c>
      <c r="D129" s="82" t="s">
        <v>768</v>
      </c>
      <c r="E129" s="68"/>
      <c r="F129" s="68"/>
      <c r="G129" s="68"/>
      <c r="H129" s="68"/>
      <c r="I129" s="68"/>
      <c r="J129" s="68"/>
      <c r="K129" s="63"/>
    </row>
    <row r="130" spans="1:11">
      <c r="A130" s="79" t="s">
        <v>445</v>
      </c>
      <c r="B130" s="79"/>
      <c r="C130" s="79" t="s">
        <v>769</v>
      </c>
      <c r="D130" s="80" t="s">
        <v>770</v>
      </c>
      <c r="E130" s="69"/>
      <c r="F130" s="69"/>
      <c r="G130" s="69"/>
      <c r="H130" s="69"/>
      <c r="I130" s="69"/>
      <c r="J130" s="69"/>
      <c r="K130" s="66"/>
    </row>
    <row r="131" spans="1:11" ht="15.75">
      <c r="A131" s="81" t="s">
        <v>445</v>
      </c>
      <c r="B131" s="81"/>
      <c r="C131" s="81" t="s">
        <v>771</v>
      </c>
      <c r="D131" s="82" t="s">
        <v>772</v>
      </c>
      <c r="E131" s="68"/>
      <c r="F131" s="68"/>
      <c r="G131" s="68"/>
      <c r="H131" s="68"/>
      <c r="I131" s="68"/>
      <c r="J131" s="68"/>
      <c r="K131" s="63"/>
    </row>
    <row r="132" spans="1:11" ht="24">
      <c r="A132" s="77" t="s">
        <v>773</v>
      </c>
      <c r="B132" s="77"/>
      <c r="C132" s="77"/>
      <c r="D132" s="78"/>
      <c r="E132" s="65"/>
      <c r="F132" s="65"/>
      <c r="G132" s="65"/>
      <c r="H132" s="65"/>
      <c r="I132" s="65"/>
      <c r="J132" s="65"/>
      <c r="K132" s="66"/>
    </row>
    <row r="133" spans="1:11" ht="15.75">
      <c r="A133" s="81" t="s">
        <v>445</v>
      </c>
      <c r="B133" s="81"/>
      <c r="C133" s="81" t="s">
        <v>774</v>
      </c>
      <c r="D133" s="82" t="s">
        <v>775</v>
      </c>
      <c r="E133" s="68"/>
      <c r="F133" s="68"/>
      <c r="G133" s="68"/>
      <c r="H133" s="68"/>
      <c r="I133" s="68"/>
      <c r="J133" s="68"/>
      <c r="K133" s="63"/>
    </row>
    <row r="134" spans="1:11" ht="15.75">
      <c r="A134" s="79" t="s">
        <v>445</v>
      </c>
      <c r="B134" s="79"/>
      <c r="C134" s="79" t="s">
        <v>776</v>
      </c>
      <c r="D134" s="80" t="s">
        <v>777</v>
      </c>
      <c r="E134" s="65"/>
      <c r="F134" s="65"/>
      <c r="G134" s="65"/>
      <c r="H134" s="65"/>
      <c r="I134" s="65"/>
      <c r="J134" s="65"/>
      <c r="K134" s="66"/>
    </row>
    <row r="135" spans="1:11" ht="15.75">
      <c r="A135" s="81" t="s">
        <v>445</v>
      </c>
      <c r="B135" s="81"/>
      <c r="C135" s="81" t="s">
        <v>778</v>
      </c>
      <c r="D135" s="82" t="s">
        <v>779</v>
      </c>
      <c r="E135" s="68"/>
      <c r="F135" s="68"/>
      <c r="G135" s="68"/>
      <c r="H135" s="68"/>
      <c r="I135" s="68"/>
      <c r="J135" s="68"/>
      <c r="K135" s="63"/>
    </row>
    <row r="136" spans="1:11">
      <c r="A136" s="79" t="s">
        <v>445</v>
      </c>
      <c r="B136" s="79"/>
      <c r="C136" s="79" t="s">
        <v>780</v>
      </c>
      <c r="D136" s="80" t="s">
        <v>781</v>
      </c>
      <c r="E136" s="69"/>
      <c r="F136" s="69"/>
      <c r="G136" s="69"/>
      <c r="H136" s="69"/>
      <c r="I136" s="69"/>
      <c r="J136" s="69"/>
      <c r="K136" s="66"/>
    </row>
    <row r="137" spans="1:11" ht="24">
      <c r="A137" s="83" t="s">
        <v>782</v>
      </c>
      <c r="B137" s="83"/>
      <c r="C137" s="83"/>
      <c r="D137" s="84"/>
      <c r="E137" s="70"/>
      <c r="F137" s="70"/>
      <c r="G137" s="70"/>
      <c r="H137" s="70"/>
      <c r="I137" s="70"/>
      <c r="J137" s="70"/>
      <c r="K137" s="63"/>
    </row>
    <row r="138" spans="1:11" ht="15.75">
      <c r="A138" s="79" t="s">
        <v>783</v>
      </c>
      <c r="B138" s="79"/>
      <c r="C138" s="79" t="s">
        <v>784</v>
      </c>
      <c r="D138" s="80" t="s">
        <v>785</v>
      </c>
      <c r="E138" s="71"/>
      <c r="F138" s="71"/>
      <c r="G138" s="71"/>
      <c r="H138" s="71"/>
      <c r="I138" s="71"/>
      <c r="J138" s="71"/>
      <c r="K138" s="66"/>
    </row>
    <row r="139" spans="1:11" ht="15.75">
      <c r="A139" s="81" t="s">
        <v>783</v>
      </c>
      <c r="B139" s="81"/>
      <c r="C139" s="81" t="s">
        <v>786</v>
      </c>
      <c r="D139" s="82" t="s">
        <v>787</v>
      </c>
      <c r="E139" s="70"/>
      <c r="F139" s="70"/>
      <c r="G139" s="70"/>
      <c r="H139" s="70"/>
      <c r="I139" s="70"/>
      <c r="J139" s="70"/>
      <c r="K139" s="63"/>
    </row>
    <row r="140" spans="1:11" ht="15.75">
      <c r="A140" s="79" t="s">
        <v>783</v>
      </c>
      <c r="B140" s="79"/>
      <c r="C140" s="79" t="s">
        <v>788</v>
      </c>
      <c r="D140" s="80" t="s">
        <v>789</v>
      </c>
      <c r="E140" s="71"/>
      <c r="F140" s="71"/>
      <c r="G140" s="71"/>
      <c r="H140" s="71"/>
      <c r="I140" s="71"/>
      <c r="J140" s="71"/>
      <c r="K140" s="66"/>
    </row>
    <row r="141" spans="1:11" ht="15.75">
      <c r="A141" s="81" t="s">
        <v>783</v>
      </c>
      <c r="B141" s="81"/>
      <c r="C141" s="81" t="s">
        <v>790</v>
      </c>
      <c r="D141" s="82" t="s">
        <v>791</v>
      </c>
      <c r="E141" s="70"/>
      <c r="F141" s="70"/>
      <c r="G141" s="70"/>
      <c r="H141" s="70"/>
      <c r="I141" s="70"/>
      <c r="J141" s="70"/>
      <c r="K141" s="63"/>
    </row>
    <row r="142" spans="1:11" ht="24">
      <c r="A142" s="77" t="s">
        <v>792</v>
      </c>
      <c r="B142" s="77"/>
      <c r="C142" s="77"/>
      <c r="D142" s="78"/>
      <c r="E142" s="71"/>
      <c r="F142" s="71"/>
      <c r="G142" s="71"/>
      <c r="H142" s="71"/>
      <c r="I142" s="71"/>
      <c r="J142" s="71"/>
      <c r="K142" s="66"/>
    </row>
    <row r="143" spans="1:11" ht="15.75">
      <c r="A143" s="81" t="s">
        <v>783</v>
      </c>
      <c r="B143" s="81"/>
      <c r="C143" s="81" t="s">
        <v>793</v>
      </c>
      <c r="D143" s="82" t="s">
        <v>794</v>
      </c>
      <c r="E143" s="70"/>
      <c r="F143" s="70"/>
      <c r="G143" s="70"/>
      <c r="H143" s="70"/>
      <c r="I143" s="70"/>
      <c r="J143" s="70"/>
      <c r="K143" s="63"/>
    </row>
    <row r="144" spans="1:11" ht="15.75">
      <c r="A144" s="79" t="s">
        <v>783</v>
      </c>
      <c r="B144" s="79"/>
      <c r="C144" s="79" t="s">
        <v>795</v>
      </c>
      <c r="D144" s="80" t="s">
        <v>796</v>
      </c>
      <c r="E144" s="71"/>
      <c r="F144" s="71"/>
      <c r="G144" s="71"/>
      <c r="H144" s="71"/>
      <c r="I144" s="71"/>
      <c r="J144" s="71"/>
      <c r="K144" s="66"/>
    </row>
    <row r="145" spans="1:11" ht="15.75">
      <c r="A145" s="81" t="s">
        <v>783</v>
      </c>
      <c r="B145" s="81"/>
      <c r="C145" s="81" t="s">
        <v>797</v>
      </c>
      <c r="D145" s="82" t="s">
        <v>798</v>
      </c>
      <c r="E145" s="70"/>
      <c r="F145" s="70"/>
      <c r="G145" s="70"/>
      <c r="H145" s="70"/>
      <c r="I145" s="70"/>
      <c r="J145" s="70"/>
      <c r="K145" s="63"/>
    </row>
    <row r="146" spans="1:11" ht="15.75">
      <c r="A146" s="79" t="s">
        <v>783</v>
      </c>
      <c r="B146" s="79"/>
      <c r="C146" s="79" t="s">
        <v>799</v>
      </c>
      <c r="D146" s="80" t="s">
        <v>800</v>
      </c>
      <c r="E146" s="71"/>
      <c r="F146" s="71"/>
      <c r="G146" s="71"/>
      <c r="H146" s="71"/>
      <c r="I146" s="71"/>
      <c r="J146" s="71"/>
      <c r="K146" s="66"/>
    </row>
    <row r="147" spans="1:11" ht="24">
      <c r="A147" s="83" t="s">
        <v>801</v>
      </c>
      <c r="B147" s="83"/>
      <c r="C147" s="83"/>
      <c r="D147" s="84"/>
      <c r="E147" s="70"/>
      <c r="F147" s="70"/>
      <c r="G147" s="70"/>
      <c r="H147" s="70"/>
      <c r="I147" s="70"/>
      <c r="J147" s="70"/>
      <c r="K147" s="63"/>
    </row>
    <row r="148" spans="1:11" ht="15.75">
      <c r="A148" s="79" t="s">
        <v>445</v>
      </c>
      <c r="B148" s="79"/>
      <c r="C148" s="79" t="s">
        <v>802</v>
      </c>
      <c r="D148" s="80" t="s">
        <v>803</v>
      </c>
      <c r="E148" s="71"/>
      <c r="F148" s="71"/>
      <c r="G148" s="71"/>
      <c r="H148" s="71"/>
      <c r="I148" s="71"/>
      <c r="J148" s="71"/>
      <c r="K148" s="66"/>
    </row>
    <row r="149" spans="1:11" ht="15.75">
      <c r="A149" s="81" t="s">
        <v>445</v>
      </c>
      <c r="B149" s="81"/>
      <c r="C149" s="81" t="s">
        <v>804</v>
      </c>
      <c r="D149" s="82" t="s">
        <v>805</v>
      </c>
      <c r="E149" s="70"/>
      <c r="F149" s="70"/>
      <c r="G149" s="70"/>
      <c r="H149" s="70"/>
      <c r="I149" s="70"/>
      <c r="J149" s="70"/>
      <c r="K149" s="63"/>
    </row>
    <row r="150" spans="1:11" ht="15.75">
      <c r="A150" s="79" t="s">
        <v>445</v>
      </c>
      <c r="B150" s="79"/>
      <c r="C150" s="79" t="s">
        <v>806</v>
      </c>
      <c r="D150" s="80" t="s">
        <v>807</v>
      </c>
      <c r="E150" s="71"/>
      <c r="F150" s="71"/>
      <c r="G150" s="71"/>
      <c r="H150" s="71"/>
      <c r="I150" s="71"/>
      <c r="J150" s="71"/>
      <c r="K150" s="66"/>
    </row>
    <row r="151" spans="1:11" ht="15.75">
      <c r="A151" s="81" t="s">
        <v>445</v>
      </c>
      <c r="B151" s="81"/>
      <c r="C151" s="81" t="s">
        <v>808</v>
      </c>
      <c r="D151" s="82" t="s">
        <v>809</v>
      </c>
      <c r="E151" s="70"/>
      <c r="F151" s="70"/>
      <c r="G151" s="70"/>
      <c r="H151" s="70"/>
      <c r="I151" s="70"/>
      <c r="J151" s="70"/>
      <c r="K151" s="63"/>
    </row>
    <row r="152" spans="1:11" ht="15.75">
      <c r="A152" s="79" t="s">
        <v>445</v>
      </c>
      <c r="B152" s="79"/>
      <c r="C152" s="79" t="s">
        <v>810</v>
      </c>
      <c r="D152" s="80" t="s">
        <v>811</v>
      </c>
      <c r="E152" s="71"/>
      <c r="F152" s="71"/>
      <c r="G152" s="71"/>
      <c r="H152" s="71"/>
      <c r="I152" s="71"/>
      <c r="J152" s="71"/>
      <c r="K152" s="66"/>
    </row>
    <row r="153" spans="1:11" ht="15.75">
      <c r="A153" s="81" t="s">
        <v>445</v>
      </c>
      <c r="B153" s="81"/>
      <c r="C153" s="81" t="s">
        <v>812</v>
      </c>
      <c r="D153" s="82" t="s">
        <v>813</v>
      </c>
      <c r="E153" s="70"/>
      <c r="F153" s="70"/>
      <c r="G153" s="70"/>
      <c r="H153" s="70"/>
      <c r="I153" s="70"/>
      <c r="J153" s="70"/>
      <c r="K153" s="63"/>
    </row>
    <row r="154" spans="1:11" ht="15.75">
      <c r="A154" s="79" t="s">
        <v>445</v>
      </c>
      <c r="B154" s="79"/>
      <c r="C154" s="79" t="s">
        <v>814</v>
      </c>
      <c r="D154" s="80" t="s">
        <v>815</v>
      </c>
      <c r="E154" s="71"/>
      <c r="F154" s="71"/>
      <c r="G154" s="71"/>
      <c r="H154" s="71"/>
      <c r="I154" s="71"/>
      <c r="J154" s="71"/>
      <c r="K154" s="66"/>
    </row>
    <row r="155" spans="1:11" ht="15.75">
      <c r="A155" s="81" t="s">
        <v>445</v>
      </c>
      <c r="B155" s="81"/>
      <c r="C155" s="81" t="s">
        <v>816</v>
      </c>
      <c r="D155" s="82" t="s">
        <v>817</v>
      </c>
      <c r="E155" s="70"/>
      <c r="F155" s="70"/>
      <c r="G155" s="70"/>
      <c r="H155" s="70"/>
      <c r="I155" s="70"/>
      <c r="J155" s="70"/>
      <c r="K155" s="63"/>
    </row>
    <row r="156" spans="1:11" ht="15.75">
      <c r="A156" s="79" t="s">
        <v>445</v>
      </c>
      <c r="B156" s="79"/>
      <c r="C156" s="79" t="s">
        <v>818</v>
      </c>
      <c r="D156" s="80" t="s">
        <v>819</v>
      </c>
      <c r="E156" s="71"/>
      <c r="F156" s="71"/>
      <c r="G156" s="71"/>
      <c r="H156" s="71"/>
      <c r="I156" s="71"/>
      <c r="J156" s="71"/>
      <c r="K156" s="66"/>
    </row>
    <row r="157" spans="1:11" ht="15.75">
      <c r="A157" s="81" t="s">
        <v>445</v>
      </c>
      <c r="B157" s="81"/>
      <c r="C157" s="81" t="s">
        <v>820</v>
      </c>
      <c r="D157" s="82" t="s">
        <v>821</v>
      </c>
      <c r="E157" s="70"/>
      <c r="F157" s="70"/>
      <c r="G157" s="70"/>
      <c r="H157" s="70"/>
      <c r="I157" s="70"/>
      <c r="J157" s="70"/>
      <c r="K157" s="63"/>
    </row>
    <row r="158" spans="1:11" ht="15.75">
      <c r="A158" s="79" t="s">
        <v>445</v>
      </c>
      <c r="B158" s="79"/>
      <c r="C158" s="79" t="s">
        <v>822</v>
      </c>
      <c r="D158" s="80" t="s">
        <v>823</v>
      </c>
      <c r="E158" s="71"/>
      <c r="F158" s="71"/>
      <c r="G158" s="71"/>
      <c r="H158" s="71"/>
      <c r="I158" s="71"/>
      <c r="J158" s="71"/>
      <c r="K158" s="66"/>
    </row>
    <row r="159" spans="1:11" ht="15.75">
      <c r="A159" s="81" t="s">
        <v>445</v>
      </c>
      <c r="B159" s="81"/>
      <c r="C159" s="81" t="s">
        <v>824</v>
      </c>
      <c r="D159" s="82" t="s">
        <v>825</v>
      </c>
      <c r="E159" s="70"/>
      <c r="F159" s="70"/>
      <c r="G159" s="70"/>
      <c r="H159" s="70"/>
      <c r="I159" s="70"/>
      <c r="J159" s="70"/>
      <c r="K159" s="63"/>
    </row>
    <row r="160" spans="1:11" ht="15.75">
      <c r="A160" s="79" t="s">
        <v>445</v>
      </c>
      <c r="B160" s="79"/>
      <c r="C160" s="79" t="s">
        <v>826</v>
      </c>
      <c r="D160" s="80" t="s">
        <v>827</v>
      </c>
      <c r="E160" s="71"/>
      <c r="F160" s="71"/>
      <c r="G160" s="71"/>
      <c r="H160" s="71"/>
      <c r="I160" s="71"/>
      <c r="J160" s="71"/>
      <c r="K160" s="66"/>
    </row>
    <row r="161" spans="1:11" ht="15.75">
      <c r="A161" s="81" t="s">
        <v>445</v>
      </c>
      <c r="B161" s="81"/>
      <c r="C161" s="81" t="s">
        <v>828</v>
      </c>
      <c r="D161" s="82" t="s">
        <v>829</v>
      </c>
      <c r="E161" s="70"/>
      <c r="F161" s="70"/>
      <c r="G161" s="70"/>
      <c r="H161" s="70"/>
      <c r="I161" s="70"/>
      <c r="J161" s="70"/>
      <c r="K161" s="63"/>
    </row>
    <row r="162" spans="1:11" ht="15.75">
      <c r="A162" s="79" t="s">
        <v>445</v>
      </c>
      <c r="B162" s="79"/>
      <c r="C162" s="79" t="s">
        <v>830</v>
      </c>
      <c r="D162" s="80" t="s">
        <v>831</v>
      </c>
      <c r="E162" s="71"/>
      <c r="F162" s="71"/>
      <c r="G162" s="71"/>
      <c r="H162" s="71"/>
      <c r="I162" s="71"/>
      <c r="J162" s="71"/>
      <c r="K162" s="66"/>
    </row>
    <row r="163" spans="1:11" ht="15.75">
      <c r="A163" s="81" t="s">
        <v>445</v>
      </c>
      <c r="B163" s="81"/>
      <c r="C163" s="81" t="s">
        <v>832</v>
      </c>
      <c r="D163" s="82" t="s">
        <v>833</v>
      </c>
      <c r="E163" s="70"/>
      <c r="F163" s="70"/>
      <c r="G163" s="70"/>
      <c r="H163" s="70"/>
      <c r="I163" s="70"/>
      <c r="J163" s="70"/>
      <c r="K163" s="63"/>
    </row>
    <row r="164" spans="1:11" ht="15.75">
      <c r="A164" s="79" t="s">
        <v>445</v>
      </c>
      <c r="B164" s="79"/>
      <c r="C164" s="79" t="s">
        <v>834</v>
      </c>
      <c r="D164" s="80" t="s">
        <v>835</v>
      </c>
      <c r="E164" s="71"/>
      <c r="F164" s="71"/>
      <c r="G164" s="71"/>
      <c r="H164" s="71"/>
      <c r="I164" s="71"/>
      <c r="J164" s="71"/>
      <c r="K164" s="66"/>
    </row>
    <row r="165" spans="1:11" ht="15.75">
      <c r="A165" s="81" t="s">
        <v>445</v>
      </c>
      <c r="B165" s="81"/>
      <c r="C165" s="81" t="s">
        <v>836</v>
      </c>
      <c r="D165" s="82" t="s">
        <v>837</v>
      </c>
      <c r="E165" s="70"/>
      <c r="F165" s="70"/>
      <c r="G165" s="70"/>
      <c r="H165" s="70"/>
      <c r="I165" s="70"/>
      <c r="J165" s="70"/>
      <c r="K165" s="63"/>
    </row>
    <row r="166" spans="1:11" ht="15.75">
      <c r="A166" s="79" t="s">
        <v>445</v>
      </c>
      <c r="B166" s="79"/>
      <c r="C166" s="79" t="s">
        <v>838</v>
      </c>
      <c r="D166" s="80" t="s">
        <v>839</v>
      </c>
      <c r="E166" s="71"/>
      <c r="F166" s="71"/>
      <c r="G166" s="71"/>
      <c r="H166" s="71"/>
      <c r="I166" s="71"/>
      <c r="J166" s="71"/>
      <c r="K166" s="66"/>
    </row>
    <row r="167" spans="1:11" ht="15.75">
      <c r="A167" s="81" t="s">
        <v>445</v>
      </c>
      <c r="B167" s="81"/>
      <c r="C167" s="81" t="s">
        <v>840</v>
      </c>
      <c r="D167" s="82" t="s">
        <v>841</v>
      </c>
      <c r="E167" s="70"/>
      <c r="F167" s="70"/>
      <c r="G167" s="70"/>
      <c r="H167" s="70"/>
      <c r="I167" s="70"/>
      <c r="J167" s="70"/>
      <c r="K167" s="63"/>
    </row>
    <row r="168" spans="1:11" ht="24">
      <c r="A168" s="57" t="s">
        <v>842</v>
      </c>
      <c r="B168" s="57"/>
      <c r="C168" s="77"/>
      <c r="D168" s="78"/>
      <c r="E168" s="71"/>
      <c r="F168" s="71"/>
      <c r="G168" s="71"/>
      <c r="H168" s="71"/>
      <c r="I168" s="71"/>
      <c r="J168" s="71"/>
      <c r="K168" s="66"/>
    </row>
    <row r="169" spans="1:11" ht="15.75">
      <c r="A169" t="s">
        <v>462</v>
      </c>
      <c r="C169" t="s">
        <v>843</v>
      </c>
      <c r="D169" t="s">
        <v>844</v>
      </c>
      <c r="E169" s="71"/>
      <c r="F169" s="71"/>
      <c r="G169" s="71"/>
      <c r="H169" s="71"/>
      <c r="I169" s="71"/>
      <c r="J169" s="71"/>
      <c r="K169" s="66"/>
    </row>
    <row r="170" spans="1:11" ht="15.75">
      <c r="A170" t="s">
        <v>410</v>
      </c>
      <c r="C170" t="s">
        <v>845</v>
      </c>
      <c r="D170" t="s">
        <v>846</v>
      </c>
      <c r="E170" s="70"/>
      <c r="F170" s="70"/>
      <c r="G170" s="70"/>
      <c r="H170" s="70"/>
      <c r="I170" s="70"/>
      <c r="J170" s="70"/>
      <c r="K170" s="63"/>
    </row>
    <row r="171" spans="1:11" ht="15.75">
      <c r="A171" t="s">
        <v>847</v>
      </c>
      <c r="C171" t="s">
        <v>848</v>
      </c>
      <c r="D171" t="s">
        <v>849</v>
      </c>
      <c r="E171" s="71"/>
      <c r="F171" s="71"/>
      <c r="G171" s="71"/>
      <c r="H171" s="71"/>
      <c r="I171" s="71"/>
      <c r="J171" s="71"/>
      <c r="K171" s="66"/>
    </row>
    <row r="172" spans="1:11" ht="15.75">
      <c r="A172" t="s">
        <v>850</v>
      </c>
      <c r="C172" t="s">
        <v>851</v>
      </c>
      <c r="D172" t="s">
        <v>852</v>
      </c>
      <c r="E172" s="70"/>
      <c r="F172" s="70"/>
      <c r="G172" s="70"/>
      <c r="H172" s="70"/>
      <c r="I172" s="70"/>
      <c r="J172" s="70"/>
      <c r="K172" s="63"/>
    </row>
    <row r="173" spans="1:11" ht="15.75">
      <c r="A173" t="s">
        <v>850</v>
      </c>
      <c r="C173" t="s">
        <v>853</v>
      </c>
      <c r="D173" t="s">
        <v>854</v>
      </c>
      <c r="E173" s="75"/>
      <c r="F173" s="75"/>
      <c r="G173" s="75"/>
      <c r="H173" s="75"/>
      <c r="I173" s="75"/>
      <c r="J173" s="75"/>
      <c r="K173" s="76"/>
    </row>
    <row r="174" spans="1:11" ht="15.75">
      <c r="A174" t="s">
        <v>855</v>
      </c>
      <c r="C174" t="s">
        <v>856</v>
      </c>
      <c r="D174" t="s">
        <v>857</v>
      </c>
      <c r="E174" s="70"/>
      <c r="F174" s="70"/>
      <c r="G174" s="70"/>
      <c r="H174" s="70"/>
      <c r="I174" s="70"/>
      <c r="J174" s="70"/>
      <c r="K174" s="63"/>
    </row>
    <row r="175" spans="1:11" ht="24">
      <c r="A175" s="57" t="s">
        <v>858</v>
      </c>
      <c r="B175" s="57"/>
      <c r="C175" s="79"/>
      <c r="D175" s="80"/>
      <c r="E175" s="75"/>
      <c r="F175" s="75"/>
      <c r="G175" s="75"/>
      <c r="H175" s="75"/>
      <c r="I175" s="75"/>
      <c r="J175" s="75"/>
      <c r="K175" s="76"/>
    </row>
    <row r="176" spans="1:11" ht="18">
      <c r="A176" s="153" t="s">
        <v>859</v>
      </c>
      <c r="B176" s="153"/>
      <c r="C176" s="153"/>
      <c r="D176" s="154"/>
      <c r="E176" s="70"/>
      <c r="F176" s="70"/>
      <c r="G176" s="70"/>
      <c r="H176" s="70"/>
      <c r="I176" s="70"/>
      <c r="J176" s="70"/>
      <c r="K176" s="63"/>
    </row>
    <row r="177" spans="1:11" ht="15.75">
      <c r="A177" s="155" t="s">
        <v>860</v>
      </c>
      <c r="B177" s="155"/>
      <c r="C177" s="155"/>
      <c r="D177" s="156"/>
      <c r="E177" s="75"/>
      <c r="F177" s="75"/>
      <c r="G177" s="75"/>
      <c r="H177" s="75"/>
      <c r="I177" s="75"/>
      <c r="J177" s="75"/>
      <c r="K177" s="76"/>
    </row>
    <row r="178" spans="1:11" ht="15.75">
      <c r="A178" s="157" t="s">
        <v>861</v>
      </c>
      <c r="B178" s="157"/>
      <c r="C178" s="157"/>
      <c r="D178" s="158"/>
      <c r="E178" s="70"/>
      <c r="F178" s="70"/>
      <c r="G178" s="70"/>
      <c r="H178" s="70"/>
      <c r="I178" s="70"/>
      <c r="J178" s="70"/>
      <c r="K178" s="63"/>
    </row>
    <row r="179" spans="1:11" ht="15.75">
      <c r="A179" t="s">
        <v>410</v>
      </c>
      <c r="C179" t="s">
        <v>862</v>
      </c>
      <c r="D179" t="s">
        <v>863</v>
      </c>
      <c r="E179" s="70"/>
      <c r="F179" s="70"/>
      <c r="G179" s="70"/>
      <c r="H179" s="70"/>
      <c r="I179" s="70"/>
      <c r="J179" s="70"/>
      <c r="K179" s="63"/>
    </row>
    <row r="180" spans="1:11" ht="15.75">
      <c r="A180" t="s">
        <v>847</v>
      </c>
      <c r="C180" t="s">
        <v>864</v>
      </c>
      <c r="D180" t="s">
        <v>865</v>
      </c>
      <c r="E180" s="75"/>
      <c r="F180" s="75"/>
      <c r="G180" s="75"/>
      <c r="H180" s="75"/>
      <c r="I180" s="75"/>
      <c r="J180" s="75"/>
      <c r="K180" s="76"/>
    </row>
    <row r="181" spans="1:11" ht="15.75">
      <c r="A181" t="s">
        <v>410</v>
      </c>
      <c r="C181" t="s">
        <v>866</v>
      </c>
      <c r="D181" t="s">
        <v>867</v>
      </c>
      <c r="E181" s="70"/>
      <c r="F181" s="70"/>
      <c r="G181" s="70"/>
      <c r="H181" s="70"/>
      <c r="I181" s="70"/>
      <c r="J181" s="70"/>
      <c r="K181" s="63"/>
    </row>
    <row r="182" spans="1:11" ht="15.75">
      <c r="A182" t="s">
        <v>410</v>
      </c>
      <c r="C182" t="s">
        <v>868</v>
      </c>
      <c r="D182" t="s">
        <v>869</v>
      </c>
      <c r="E182" s="75"/>
      <c r="F182" s="75"/>
      <c r="G182" s="75"/>
      <c r="H182" s="75"/>
      <c r="I182" s="75"/>
      <c r="J182" s="75"/>
      <c r="K182" s="76"/>
    </row>
    <row r="183" spans="1:11" ht="15.75">
      <c r="A183" t="s">
        <v>847</v>
      </c>
      <c r="C183" t="s">
        <v>870</v>
      </c>
      <c r="D183" t="s">
        <v>871</v>
      </c>
      <c r="E183" s="70"/>
      <c r="F183" s="70"/>
      <c r="G183" s="70"/>
      <c r="H183" s="70"/>
      <c r="I183" s="70"/>
      <c r="J183" s="70"/>
      <c r="K183" s="63"/>
    </row>
    <row r="184" spans="1:11" ht="15.75">
      <c r="A184" t="s">
        <v>847</v>
      </c>
      <c r="C184" t="s">
        <v>872</v>
      </c>
      <c r="D184" t="s">
        <v>873</v>
      </c>
      <c r="E184" s="75"/>
      <c r="F184" s="75"/>
      <c r="G184" s="75"/>
      <c r="H184" s="75"/>
      <c r="I184" s="75"/>
      <c r="J184" s="75"/>
      <c r="K184" s="76"/>
    </row>
    <row r="185" spans="1:11" ht="15.75">
      <c r="A185" t="s">
        <v>874</v>
      </c>
      <c r="C185" t="s">
        <v>875</v>
      </c>
      <c r="D185" t="s">
        <v>876</v>
      </c>
      <c r="E185" s="70"/>
      <c r="F185" s="70"/>
      <c r="G185" s="70"/>
      <c r="H185" s="70"/>
      <c r="I185" s="70"/>
      <c r="J185" s="70"/>
      <c r="K185" s="63"/>
    </row>
    <row r="186" spans="1:11" ht="15.75">
      <c r="A186" s="79"/>
      <c r="B186" s="79"/>
      <c r="C186" s="79"/>
      <c r="D186" s="80"/>
      <c r="E186" s="75"/>
      <c r="F186" s="75"/>
      <c r="G186" s="75"/>
      <c r="H186" s="75"/>
      <c r="I186" s="75"/>
      <c r="J186" s="75"/>
      <c r="K186" s="76"/>
    </row>
    <row r="187" spans="1:11" ht="15.75">
      <c r="A187" s="81"/>
      <c r="B187" s="81"/>
      <c r="C187" s="81"/>
      <c r="D187" s="82"/>
      <c r="E187" s="70"/>
      <c r="F187" s="70"/>
      <c r="G187" s="70"/>
      <c r="H187" s="70"/>
      <c r="I187" s="70"/>
      <c r="J187" s="70"/>
      <c r="K187" s="63"/>
    </row>
    <row r="188" spans="1:11" ht="15.75">
      <c r="A188" s="79"/>
      <c r="B188" s="79"/>
      <c r="C188" s="79"/>
      <c r="D188" s="80"/>
      <c r="E188" s="75"/>
      <c r="F188" s="75"/>
      <c r="G188" s="75"/>
      <c r="H188" s="75"/>
      <c r="I188" s="75"/>
      <c r="J188" s="75"/>
      <c r="K188" s="76"/>
    </row>
    <row r="189" spans="1:11" ht="15.75">
      <c r="A189" s="81"/>
      <c r="B189" s="81"/>
      <c r="C189" s="81"/>
      <c r="D189" s="82"/>
      <c r="E189" s="70"/>
      <c r="F189" s="70"/>
      <c r="G189" s="70"/>
      <c r="H189" s="70"/>
      <c r="I189" s="70"/>
      <c r="J189" s="70"/>
      <c r="K189" s="63"/>
    </row>
    <row r="190" spans="1:11" ht="15.75">
      <c r="A190" s="89"/>
      <c r="B190" s="89"/>
      <c r="C190" s="89"/>
      <c r="D190" s="90"/>
      <c r="E190" s="75"/>
      <c r="F190" s="75"/>
      <c r="G190" s="75"/>
      <c r="H190" s="75"/>
      <c r="I190" s="75"/>
      <c r="J190" s="75"/>
      <c r="K190" s="76"/>
    </row>
  </sheetData>
  <mergeCells count="3">
    <mergeCell ref="A176:D176"/>
    <mergeCell ref="A177:D177"/>
    <mergeCell ref="A178:D17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C3682-B3FE-44AC-B0C3-186024D0D2BE}">
  <sheetPr>
    <tabColor rgb="FFFFC000"/>
  </sheetPr>
  <dimension ref="A1:O259"/>
  <sheetViews>
    <sheetView tabSelected="1" workbookViewId="0">
      <pane xSplit="3" ySplit="1" topLeftCell="D66" activePane="bottomRight" state="frozen"/>
      <selection pane="bottomRight" activeCell="D83" sqref="D83"/>
      <selection pane="bottomLeft"/>
      <selection pane="topRight"/>
    </sheetView>
  </sheetViews>
  <sheetFormatPr defaultRowHeight="15"/>
  <cols>
    <col min="1" max="1" width="11.85546875" bestFit="1" customWidth="1"/>
    <col min="2" max="2" width="41.85546875" bestFit="1" customWidth="1"/>
    <col min="3" max="4" width="33.5703125" style="93" bestFit="1" customWidth="1"/>
    <col min="5" max="5" width="38.85546875" style="93" bestFit="1" customWidth="1"/>
    <col min="6" max="6" width="40.28515625" style="93" bestFit="1" customWidth="1"/>
    <col min="7" max="7" width="38.28515625" bestFit="1" customWidth="1"/>
    <col min="8" max="8" width="33.42578125" style="93" bestFit="1" customWidth="1"/>
    <col min="9" max="9" width="120.7109375" style="93" bestFit="1" customWidth="1"/>
    <col min="10" max="10" width="15.7109375" bestFit="1" customWidth="1"/>
    <col min="11" max="11" width="17.5703125" bestFit="1" customWidth="1"/>
    <col min="13" max="13" width="14.5703125" bestFit="1" customWidth="1"/>
    <col min="14" max="14" width="11" bestFit="1" customWidth="1"/>
  </cols>
  <sheetData>
    <row r="1" spans="1:15">
      <c r="A1" s="94" t="s">
        <v>576</v>
      </c>
      <c r="B1" s="94" t="s">
        <v>877</v>
      </c>
      <c r="C1" s="94" t="s">
        <v>878</v>
      </c>
      <c r="D1" s="94" t="s">
        <v>879</v>
      </c>
      <c r="E1" s="94" t="s">
        <v>880</v>
      </c>
      <c r="F1" s="94" t="s">
        <v>881</v>
      </c>
      <c r="G1" s="94" t="s">
        <v>882</v>
      </c>
      <c r="H1" s="94" t="s">
        <v>883</v>
      </c>
      <c r="I1" s="94" t="s">
        <v>884</v>
      </c>
      <c r="J1" s="147" t="s">
        <v>885</v>
      </c>
      <c r="K1" s="148" t="s">
        <v>886</v>
      </c>
      <c r="L1" s="148" t="s">
        <v>257</v>
      </c>
      <c r="M1" s="148" t="s">
        <v>887</v>
      </c>
      <c r="N1" s="148" t="s">
        <v>888</v>
      </c>
      <c r="O1" s="146"/>
    </row>
    <row r="2" spans="1:15">
      <c r="A2" s="109" t="s">
        <v>889</v>
      </c>
      <c r="B2" s="109" t="s">
        <v>890</v>
      </c>
      <c r="C2" s="109" t="s">
        <v>891</v>
      </c>
      <c r="D2" s="95" t="s">
        <v>892</v>
      </c>
      <c r="E2" s="95" t="s">
        <v>893</v>
      </c>
      <c r="F2" s="95" t="s">
        <v>894</v>
      </c>
      <c r="G2" s="95" t="s">
        <v>895</v>
      </c>
      <c r="H2" s="95" t="s">
        <v>874</v>
      </c>
      <c r="I2" s="95" t="s">
        <v>896</v>
      </c>
      <c r="J2" s="99">
        <v>4</v>
      </c>
      <c r="K2" s="46">
        <f>J2 * 0.5</f>
        <v>2</v>
      </c>
      <c r="L2" s="46">
        <f xml:space="preserve"> J2 * 0.25</f>
        <v>1</v>
      </c>
      <c r="M2" s="46">
        <f>J2+K2+L2</f>
        <v>7</v>
      </c>
      <c r="N2" s="46"/>
      <c r="O2" s="46"/>
    </row>
    <row r="3" spans="1:15">
      <c r="A3" s="110"/>
      <c r="B3" s="110"/>
      <c r="C3" s="110"/>
      <c r="D3" s="95" t="s">
        <v>897</v>
      </c>
      <c r="E3" s="95" t="s">
        <v>898</v>
      </c>
      <c r="F3" s="95" t="s">
        <v>899</v>
      </c>
      <c r="G3" s="95" t="s">
        <v>895</v>
      </c>
      <c r="H3" s="95" t="s">
        <v>874</v>
      </c>
      <c r="I3" s="95" t="s">
        <v>900</v>
      </c>
      <c r="J3" s="46"/>
      <c r="K3" s="46"/>
      <c r="L3" s="46"/>
      <c r="M3" s="46"/>
      <c r="N3" s="46"/>
      <c r="O3" s="46"/>
    </row>
    <row r="4" spans="1:15">
      <c r="A4" s="110"/>
      <c r="B4" s="110"/>
      <c r="C4" s="110"/>
      <c r="D4" s="95" t="s">
        <v>901</v>
      </c>
      <c r="E4" s="95" t="s">
        <v>902</v>
      </c>
      <c r="F4" s="95" t="s">
        <v>903</v>
      </c>
      <c r="G4" s="95" t="s">
        <v>904</v>
      </c>
      <c r="H4" s="95" t="s">
        <v>874</v>
      </c>
      <c r="I4" s="95" t="s">
        <v>905</v>
      </c>
      <c r="J4" s="46"/>
      <c r="K4" s="46"/>
      <c r="L4" s="46"/>
      <c r="M4" s="46"/>
      <c r="N4" s="46"/>
      <c r="O4" s="46"/>
    </row>
    <row r="5" spans="1:15">
      <c r="A5" s="110"/>
      <c r="B5" s="110"/>
      <c r="C5" s="111"/>
      <c r="D5" s="95" t="s">
        <v>906</v>
      </c>
      <c r="E5" s="95" t="s">
        <v>907</v>
      </c>
      <c r="F5" s="95" t="s">
        <v>908</v>
      </c>
      <c r="G5" s="95" t="s">
        <v>895</v>
      </c>
      <c r="H5" s="95" t="s">
        <v>874</v>
      </c>
      <c r="I5" s="95" t="s">
        <v>909</v>
      </c>
      <c r="J5" s="46"/>
      <c r="K5" s="46"/>
      <c r="L5" s="46"/>
      <c r="M5" s="46"/>
      <c r="N5" s="46"/>
      <c r="O5" s="46"/>
    </row>
    <row r="6" spans="1:15">
      <c r="A6" s="110"/>
      <c r="B6" s="110"/>
      <c r="C6" s="109" t="s">
        <v>910</v>
      </c>
      <c r="D6" s="95" t="s">
        <v>892</v>
      </c>
      <c r="E6" s="95" t="s">
        <v>911</v>
      </c>
      <c r="F6" s="95" t="s">
        <v>894</v>
      </c>
      <c r="G6" s="95" t="s">
        <v>895</v>
      </c>
      <c r="H6" s="95" t="s">
        <v>874</v>
      </c>
      <c r="I6" s="95" t="s">
        <v>912</v>
      </c>
      <c r="J6" s="46">
        <v>4</v>
      </c>
      <c r="K6" s="46">
        <v>2</v>
      </c>
      <c r="L6" s="46">
        <v>1</v>
      </c>
      <c r="M6" s="46">
        <v>7</v>
      </c>
      <c r="N6" s="46"/>
      <c r="O6" s="46"/>
    </row>
    <row r="7" spans="1:15">
      <c r="A7" s="110"/>
      <c r="B7" s="110"/>
      <c r="C7" s="110"/>
      <c r="D7" s="95" t="s">
        <v>913</v>
      </c>
      <c r="E7" s="95" t="s">
        <v>907</v>
      </c>
      <c r="F7" s="95" t="s">
        <v>914</v>
      </c>
      <c r="G7" s="95" t="s">
        <v>895</v>
      </c>
      <c r="H7" s="95" t="s">
        <v>874</v>
      </c>
      <c r="I7" s="95" t="s">
        <v>915</v>
      </c>
      <c r="J7" s="46"/>
      <c r="K7" s="46"/>
      <c r="L7" s="46"/>
      <c r="M7" s="46"/>
      <c r="N7" s="46"/>
      <c r="O7" s="46"/>
    </row>
    <row r="8" spans="1:15">
      <c r="A8" s="110"/>
      <c r="B8" s="110"/>
      <c r="C8" s="110"/>
      <c r="D8" s="95" t="s">
        <v>916</v>
      </c>
      <c r="E8" s="95" t="s">
        <v>917</v>
      </c>
      <c r="F8" s="95" t="s">
        <v>918</v>
      </c>
      <c r="G8" s="95" t="s">
        <v>895</v>
      </c>
      <c r="H8" s="95" t="s">
        <v>874</v>
      </c>
      <c r="I8" s="95" t="s">
        <v>919</v>
      </c>
      <c r="J8" s="46"/>
      <c r="K8" s="46"/>
      <c r="L8" s="46"/>
      <c r="M8" s="46"/>
      <c r="N8" s="46"/>
      <c r="O8" s="46"/>
    </row>
    <row r="9" spans="1:15">
      <c r="A9" s="110"/>
      <c r="B9" s="110"/>
      <c r="C9" s="110"/>
      <c r="D9" s="95" t="s">
        <v>920</v>
      </c>
      <c r="E9" s="95" t="s">
        <v>921</v>
      </c>
      <c r="F9" s="95" t="s">
        <v>922</v>
      </c>
      <c r="G9" s="95" t="s">
        <v>895</v>
      </c>
      <c r="H9" s="95" t="s">
        <v>874</v>
      </c>
      <c r="I9" s="95" t="s">
        <v>923</v>
      </c>
      <c r="J9" s="46"/>
      <c r="K9" s="46"/>
      <c r="L9" s="46"/>
      <c r="M9" s="46"/>
      <c r="N9" s="46"/>
      <c r="O9" s="46"/>
    </row>
    <row r="10" spans="1:15">
      <c r="A10" s="110"/>
      <c r="B10" s="110"/>
      <c r="C10" s="110"/>
      <c r="D10" s="95" t="s">
        <v>924</v>
      </c>
      <c r="E10" s="95" t="s">
        <v>921</v>
      </c>
      <c r="F10" s="95" t="s">
        <v>925</v>
      </c>
      <c r="G10" s="95" t="s">
        <v>895</v>
      </c>
      <c r="H10" s="95" t="s">
        <v>874</v>
      </c>
      <c r="I10" s="95" t="s">
        <v>926</v>
      </c>
      <c r="J10" s="46"/>
      <c r="K10" s="46"/>
      <c r="L10" s="46"/>
      <c r="M10" s="46"/>
      <c r="N10" s="46"/>
      <c r="O10" s="46"/>
    </row>
    <row r="11" spans="1:15">
      <c r="A11" s="110"/>
      <c r="B11" s="110"/>
      <c r="C11" s="111"/>
      <c r="D11" s="95" t="s">
        <v>927</v>
      </c>
      <c r="E11" s="95" t="s">
        <v>907</v>
      </c>
      <c r="F11" s="95" t="s">
        <v>928</v>
      </c>
      <c r="G11" s="95" t="s">
        <v>895</v>
      </c>
      <c r="H11" s="95" t="s">
        <v>874</v>
      </c>
      <c r="I11" s="95" t="s">
        <v>929</v>
      </c>
      <c r="J11" s="46"/>
      <c r="K11" s="46"/>
      <c r="L11" s="46"/>
      <c r="M11" s="46"/>
      <c r="N11" s="46"/>
      <c r="O11" s="46"/>
    </row>
    <row r="12" spans="1:15">
      <c r="A12" s="110"/>
      <c r="B12" s="110"/>
      <c r="C12" s="109" t="s">
        <v>930</v>
      </c>
      <c r="D12" s="95" t="s">
        <v>931</v>
      </c>
      <c r="E12" s="95" t="s">
        <v>932</v>
      </c>
      <c r="F12" s="95" t="s">
        <v>933</v>
      </c>
      <c r="G12" s="95" t="s">
        <v>895</v>
      </c>
      <c r="H12" s="95" t="s">
        <v>874</v>
      </c>
      <c r="I12" s="95" t="s">
        <v>934</v>
      </c>
      <c r="J12" s="46"/>
      <c r="K12" s="46">
        <v>0</v>
      </c>
      <c r="L12" s="46"/>
      <c r="M12" s="46"/>
      <c r="N12" s="46"/>
      <c r="O12" s="46"/>
    </row>
    <row r="13" spans="1:15">
      <c r="A13" s="110"/>
      <c r="B13" s="110"/>
      <c r="C13" s="111"/>
      <c r="D13" s="95" t="s">
        <v>935</v>
      </c>
      <c r="E13" s="95" t="s">
        <v>907</v>
      </c>
      <c r="F13" s="95" t="s">
        <v>936</v>
      </c>
      <c r="G13" s="95" t="s">
        <v>904</v>
      </c>
      <c r="H13" s="95" t="s">
        <v>874</v>
      </c>
      <c r="I13" s="95" t="s">
        <v>937</v>
      </c>
      <c r="J13" s="46"/>
      <c r="K13" s="46">
        <v>1</v>
      </c>
      <c r="L13" s="46">
        <v>0</v>
      </c>
      <c r="M13" s="46"/>
      <c r="N13" s="46">
        <v>1</v>
      </c>
      <c r="O13" s="46"/>
    </row>
    <row r="14" spans="1:15">
      <c r="A14" s="149"/>
      <c r="B14" s="117" t="s">
        <v>938</v>
      </c>
      <c r="C14" s="150" t="s">
        <v>939</v>
      </c>
      <c r="D14" s="95" t="s">
        <v>940</v>
      </c>
      <c r="E14" s="95" t="s">
        <v>941</v>
      </c>
      <c r="F14" s="95" t="s">
        <v>942</v>
      </c>
      <c r="G14" s="95" t="s">
        <v>943</v>
      </c>
      <c r="H14" s="95" t="s">
        <v>944</v>
      </c>
      <c r="I14" s="95" t="s">
        <v>945</v>
      </c>
      <c r="J14" s="46"/>
      <c r="K14" s="46"/>
      <c r="L14" s="46"/>
      <c r="M14" s="46"/>
      <c r="N14" s="46"/>
      <c r="O14" s="46"/>
    </row>
    <row r="15" spans="1:15">
      <c r="A15" s="149"/>
      <c r="B15" s="117"/>
      <c r="C15" s="151"/>
      <c r="D15" s="95" t="s">
        <v>946</v>
      </c>
      <c r="E15" s="95" t="s">
        <v>947</v>
      </c>
      <c r="F15" s="95" t="s">
        <v>948</v>
      </c>
      <c r="G15" s="95" t="s">
        <v>895</v>
      </c>
      <c r="H15" s="95" t="s">
        <v>874</v>
      </c>
      <c r="I15" s="95" t="s">
        <v>949</v>
      </c>
      <c r="J15" s="46"/>
      <c r="K15" s="46"/>
      <c r="L15" s="46"/>
      <c r="M15" s="46"/>
      <c r="N15" s="46"/>
      <c r="O15" s="46"/>
    </row>
    <row r="16" spans="1:15">
      <c r="A16" s="149"/>
      <c r="B16" s="117"/>
      <c r="C16" s="152"/>
      <c r="D16" s="95" t="s">
        <v>950</v>
      </c>
      <c r="E16" s="95" t="s">
        <v>951</v>
      </c>
      <c r="F16" s="95" t="s">
        <v>952</v>
      </c>
      <c r="G16" s="95" t="s">
        <v>953</v>
      </c>
      <c r="H16" s="95" t="s">
        <v>874</v>
      </c>
      <c r="I16" s="95" t="s">
        <v>954</v>
      </c>
      <c r="J16" s="46"/>
      <c r="K16" s="46"/>
      <c r="L16" s="46"/>
      <c r="M16" s="46"/>
      <c r="N16" s="46"/>
      <c r="O16" s="46"/>
    </row>
    <row r="17" spans="1:15" ht="29.25">
      <c r="A17" s="110"/>
      <c r="B17" s="110" t="s">
        <v>580</v>
      </c>
      <c r="C17" s="109" t="s">
        <v>955</v>
      </c>
      <c r="D17" s="95" t="s">
        <v>956</v>
      </c>
      <c r="E17" s="95" t="s">
        <v>957</v>
      </c>
      <c r="F17" s="95" t="s">
        <v>958</v>
      </c>
      <c r="G17" s="95" t="s">
        <v>895</v>
      </c>
      <c r="H17" s="95" t="s">
        <v>874</v>
      </c>
      <c r="I17" s="96" t="s">
        <v>959</v>
      </c>
      <c r="J17" s="46"/>
      <c r="K17" s="46"/>
      <c r="L17" s="46"/>
      <c r="M17" s="46"/>
      <c r="N17" s="46"/>
      <c r="O17" s="46"/>
    </row>
    <row r="18" spans="1:15">
      <c r="A18" s="110"/>
      <c r="B18" s="110"/>
      <c r="C18" s="110"/>
      <c r="D18" s="95" t="s">
        <v>960</v>
      </c>
      <c r="E18" s="95" t="s">
        <v>951</v>
      </c>
      <c r="F18" s="95" t="s">
        <v>961</v>
      </c>
      <c r="G18" s="95" t="s">
        <v>895</v>
      </c>
      <c r="H18" s="95" t="s">
        <v>874</v>
      </c>
      <c r="I18" s="95" t="s">
        <v>954</v>
      </c>
      <c r="J18" s="46"/>
      <c r="K18" s="46"/>
      <c r="L18" s="46"/>
      <c r="M18" s="46"/>
      <c r="N18" s="46"/>
      <c r="O18" s="46"/>
    </row>
    <row r="19" spans="1:15">
      <c r="A19" s="110"/>
      <c r="B19" s="110"/>
      <c r="C19" s="110"/>
      <c r="D19" s="95" t="s">
        <v>962</v>
      </c>
      <c r="E19" s="95" t="s">
        <v>951</v>
      </c>
      <c r="F19" s="95" t="s">
        <v>963</v>
      </c>
      <c r="G19" s="95" t="s">
        <v>895</v>
      </c>
      <c r="H19" s="95" t="s">
        <v>874</v>
      </c>
      <c r="I19" s="95" t="s">
        <v>954</v>
      </c>
      <c r="J19" s="46"/>
      <c r="K19" s="46"/>
      <c r="L19" s="46"/>
      <c r="M19" s="46"/>
      <c r="N19" s="46"/>
      <c r="O19" s="46"/>
    </row>
    <row r="20" spans="1:15">
      <c r="A20" s="110"/>
      <c r="B20" s="110"/>
      <c r="C20" s="110"/>
      <c r="D20" s="95" t="s">
        <v>964</v>
      </c>
      <c r="E20" s="95" t="s">
        <v>951</v>
      </c>
      <c r="F20" s="95" t="s">
        <v>965</v>
      </c>
      <c r="G20" s="95" t="s">
        <v>895</v>
      </c>
      <c r="H20" s="95" t="s">
        <v>874</v>
      </c>
      <c r="I20" s="95" t="s">
        <v>966</v>
      </c>
      <c r="J20" s="46"/>
      <c r="K20" s="46"/>
      <c r="L20" s="46"/>
      <c r="M20" s="46"/>
      <c r="N20" s="46"/>
      <c r="O20" s="46"/>
    </row>
    <row r="21" spans="1:15">
      <c r="A21" s="110"/>
      <c r="B21" s="110"/>
      <c r="C21" s="110"/>
      <c r="D21" s="95" t="s">
        <v>967</v>
      </c>
      <c r="E21" s="95" t="s">
        <v>968</v>
      </c>
      <c r="F21" s="95" t="s">
        <v>969</v>
      </c>
      <c r="G21" s="95" t="s">
        <v>895</v>
      </c>
      <c r="H21" s="95" t="s">
        <v>874</v>
      </c>
      <c r="I21" s="95" t="s">
        <v>970</v>
      </c>
      <c r="J21" s="46"/>
      <c r="K21" s="46"/>
      <c r="L21" s="46"/>
      <c r="M21" s="46"/>
      <c r="N21" s="46"/>
      <c r="O21" s="46"/>
    </row>
    <row r="22" spans="1:15">
      <c r="A22" s="110"/>
      <c r="B22" s="110"/>
      <c r="C22" s="110"/>
      <c r="D22" s="95" t="s">
        <v>971</v>
      </c>
      <c r="E22" s="95" t="s">
        <v>947</v>
      </c>
      <c r="F22" s="95" t="s">
        <v>972</v>
      </c>
      <c r="G22" s="95" t="s">
        <v>895</v>
      </c>
      <c r="H22" s="95" t="s">
        <v>874</v>
      </c>
      <c r="I22" s="97" t="s">
        <v>973</v>
      </c>
      <c r="J22" s="46"/>
      <c r="K22" s="46"/>
      <c r="L22" s="46"/>
      <c r="M22" s="46"/>
      <c r="N22" s="46"/>
      <c r="O22" s="46"/>
    </row>
    <row r="23" spans="1:15">
      <c r="A23" s="110"/>
      <c r="B23" s="110"/>
      <c r="C23" s="110"/>
      <c r="D23" s="95" t="s">
        <v>974</v>
      </c>
      <c r="E23" s="95" t="s">
        <v>975</v>
      </c>
      <c r="F23" s="95" t="s">
        <v>976</v>
      </c>
      <c r="G23" s="95" t="s">
        <v>977</v>
      </c>
      <c r="H23" s="95" t="s">
        <v>874</v>
      </c>
      <c r="I23" s="95" t="s">
        <v>978</v>
      </c>
      <c r="J23" s="46"/>
      <c r="K23" s="46"/>
      <c r="L23" s="46"/>
      <c r="M23" s="46"/>
      <c r="N23" s="46"/>
      <c r="O23" s="46"/>
    </row>
    <row r="24" spans="1:15">
      <c r="A24" s="110"/>
      <c r="B24" s="110"/>
      <c r="C24" s="110"/>
      <c r="D24" s="95" t="s">
        <v>979</v>
      </c>
      <c r="E24" s="95" t="s">
        <v>980</v>
      </c>
      <c r="F24" s="95" t="s">
        <v>981</v>
      </c>
      <c r="G24" s="95" t="s">
        <v>977</v>
      </c>
      <c r="H24" s="95" t="s">
        <v>874</v>
      </c>
      <c r="I24" s="95" t="s">
        <v>982</v>
      </c>
      <c r="J24" s="46"/>
      <c r="K24" s="46"/>
      <c r="L24" s="46"/>
      <c r="M24" s="46"/>
      <c r="N24" s="46"/>
      <c r="O24" s="46"/>
    </row>
    <row r="25" spans="1:15">
      <c r="A25" s="110"/>
      <c r="B25" s="110"/>
      <c r="C25" s="110"/>
      <c r="D25" s="95" t="s">
        <v>983</v>
      </c>
      <c r="E25" s="95" t="s">
        <v>907</v>
      </c>
      <c r="F25" s="95" t="s">
        <v>984</v>
      </c>
      <c r="G25" s="95" t="s">
        <v>977</v>
      </c>
      <c r="H25" s="95" t="s">
        <v>874</v>
      </c>
      <c r="I25" s="95" t="s">
        <v>982</v>
      </c>
      <c r="J25" s="46"/>
      <c r="K25" s="46"/>
      <c r="L25" s="46"/>
      <c r="M25" s="46"/>
      <c r="N25" s="46"/>
      <c r="O25" s="46"/>
    </row>
    <row r="26" spans="1:15">
      <c r="A26" s="110"/>
      <c r="B26" s="110"/>
      <c r="C26" s="111"/>
      <c r="D26" s="95" t="s">
        <v>985</v>
      </c>
      <c r="E26" s="95" t="s">
        <v>986</v>
      </c>
      <c r="F26" s="95" t="s">
        <v>958</v>
      </c>
      <c r="G26" s="95" t="s">
        <v>895</v>
      </c>
      <c r="H26" s="95" t="s">
        <v>874</v>
      </c>
      <c r="I26" s="95" t="s">
        <v>987</v>
      </c>
      <c r="J26" s="46"/>
      <c r="K26" s="46"/>
      <c r="L26" s="46"/>
      <c r="M26" s="46"/>
      <c r="N26" s="46"/>
      <c r="O26" s="46"/>
    </row>
    <row r="27" spans="1:15">
      <c r="A27" s="110"/>
      <c r="B27" s="110"/>
      <c r="C27" s="109" t="s">
        <v>988</v>
      </c>
      <c r="D27" s="95" t="s">
        <v>960</v>
      </c>
      <c r="E27" s="95" t="s">
        <v>951</v>
      </c>
      <c r="F27" s="95" t="s">
        <v>961</v>
      </c>
      <c r="G27" s="95" t="s">
        <v>895</v>
      </c>
      <c r="H27" s="95" t="s">
        <v>874</v>
      </c>
      <c r="I27" s="95" t="s">
        <v>954</v>
      </c>
      <c r="J27" s="46"/>
      <c r="K27" s="46"/>
      <c r="L27" s="46"/>
      <c r="M27" s="46"/>
      <c r="N27" s="46"/>
      <c r="O27" s="46"/>
    </row>
    <row r="28" spans="1:15">
      <c r="A28" s="110"/>
      <c r="B28" s="110"/>
      <c r="C28" s="110"/>
      <c r="D28" s="95" t="s">
        <v>962</v>
      </c>
      <c r="E28" s="95" t="s">
        <v>951</v>
      </c>
      <c r="F28" s="95" t="s">
        <v>989</v>
      </c>
      <c r="G28" s="95" t="s">
        <v>895</v>
      </c>
      <c r="H28" s="95" t="s">
        <v>874</v>
      </c>
      <c r="I28" s="95" t="s">
        <v>954</v>
      </c>
      <c r="J28" s="46"/>
      <c r="K28" s="46"/>
      <c r="L28" s="46"/>
      <c r="M28" s="46"/>
      <c r="N28" s="46"/>
      <c r="O28" s="46"/>
    </row>
    <row r="29" spans="1:15">
      <c r="A29" s="110"/>
      <c r="B29" s="110"/>
      <c r="C29" s="110"/>
      <c r="D29" s="95" t="s">
        <v>964</v>
      </c>
      <c r="E29" s="95" t="s">
        <v>990</v>
      </c>
      <c r="F29" s="95" t="s">
        <v>965</v>
      </c>
      <c r="G29" s="95" t="s">
        <v>895</v>
      </c>
      <c r="H29" s="95" t="s">
        <v>874</v>
      </c>
      <c r="I29" s="95" t="s">
        <v>991</v>
      </c>
      <c r="J29" s="46"/>
      <c r="K29" s="46"/>
      <c r="L29" s="46"/>
      <c r="M29" s="46"/>
      <c r="N29" s="46"/>
      <c r="O29" s="46"/>
    </row>
    <row r="30" spans="1:15">
      <c r="A30" s="110"/>
      <c r="B30" s="110"/>
      <c r="C30" s="110"/>
      <c r="D30" s="95" t="s">
        <v>992</v>
      </c>
      <c r="E30" s="95" t="s">
        <v>993</v>
      </c>
      <c r="F30" s="95" t="s">
        <v>994</v>
      </c>
      <c r="G30" s="95" t="s">
        <v>895</v>
      </c>
      <c r="H30" s="95" t="s">
        <v>874</v>
      </c>
      <c r="I30" s="95" t="s">
        <v>995</v>
      </c>
      <c r="J30" s="46"/>
      <c r="K30" s="46"/>
      <c r="L30" s="46"/>
      <c r="M30" s="46"/>
      <c r="N30" s="46"/>
      <c r="O30" s="46"/>
    </row>
    <row r="31" spans="1:15">
      <c r="A31" s="110"/>
      <c r="B31" s="110"/>
      <c r="C31" s="111"/>
      <c r="D31" s="95" t="s">
        <v>996</v>
      </c>
      <c r="E31" s="95" t="s">
        <v>907</v>
      </c>
      <c r="F31" s="95" t="s">
        <v>997</v>
      </c>
      <c r="G31" s="95" t="s">
        <v>977</v>
      </c>
      <c r="H31" s="95" t="s">
        <v>874</v>
      </c>
      <c r="I31" s="95" t="s">
        <v>998</v>
      </c>
      <c r="J31" s="46"/>
      <c r="K31" s="46"/>
      <c r="L31" s="46"/>
      <c r="M31" s="46"/>
      <c r="N31" s="46"/>
      <c r="O31" s="46"/>
    </row>
    <row r="32" spans="1:15">
      <c r="A32" s="110"/>
      <c r="B32" s="110"/>
      <c r="C32" s="109" t="s">
        <v>999</v>
      </c>
      <c r="D32" s="95" t="s">
        <v>1000</v>
      </c>
      <c r="E32" s="95" t="s">
        <v>1001</v>
      </c>
      <c r="F32" s="95" t="s">
        <v>958</v>
      </c>
      <c r="G32" s="95" t="s">
        <v>977</v>
      </c>
      <c r="H32" s="95" t="s">
        <v>874</v>
      </c>
      <c r="I32" s="95" t="s">
        <v>1002</v>
      </c>
      <c r="J32" s="46"/>
      <c r="K32" s="46"/>
      <c r="L32" s="46"/>
      <c r="M32" s="46"/>
      <c r="N32" s="46"/>
      <c r="O32" s="46"/>
    </row>
    <row r="33" spans="1:15">
      <c r="A33" s="110"/>
      <c r="B33" s="110"/>
      <c r="C33" s="110"/>
      <c r="D33" s="95" t="s">
        <v>1003</v>
      </c>
      <c r="E33" s="95" t="s">
        <v>951</v>
      </c>
      <c r="F33" s="95" t="s">
        <v>1004</v>
      </c>
      <c r="G33" s="95" t="s">
        <v>895</v>
      </c>
      <c r="H33" s="95" t="s">
        <v>874</v>
      </c>
      <c r="I33" s="95" t="s">
        <v>1005</v>
      </c>
      <c r="J33" s="46"/>
      <c r="K33" s="46"/>
      <c r="L33" s="46"/>
      <c r="M33" s="46"/>
      <c r="N33" s="46"/>
      <c r="O33" s="46"/>
    </row>
    <row r="34" spans="1:15">
      <c r="A34" s="110"/>
      <c r="B34" s="110"/>
      <c r="C34" s="110"/>
      <c r="D34" s="95" t="s">
        <v>1006</v>
      </c>
      <c r="E34" s="95" t="s">
        <v>1007</v>
      </c>
      <c r="F34" s="95" t="s">
        <v>1008</v>
      </c>
      <c r="G34" s="95" t="s">
        <v>977</v>
      </c>
      <c r="H34" s="95" t="s">
        <v>874</v>
      </c>
      <c r="I34" s="95" t="s">
        <v>1009</v>
      </c>
      <c r="J34" s="46"/>
      <c r="K34" s="46"/>
      <c r="L34" s="46"/>
      <c r="M34" s="46"/>
      <c r="N34" s="46"/>
      <c r="O34" s="46"/>
    </row>
    <row r="35" spans="1:15">
      <c r="A35" s="110"/>
      <c r="B35" s="110"/>
      <c r="C35" s="111"/>
      <c r="D35" s="95" t="s">
        <v>1010</v>
      </c>
      <c r="E35" s="95" t="s">
        <v>1011</v>
      </c>
      <c r="F35" s="95" t="s">
        <v>1012</v>
      </c>
      <c r="G35" s="95" t="s">
        <v>977</v>
      </c>
      <c r="H35" s="95" t="s">
        <v>874</v>
      </c>
      <c r="I35" s="95" t="s">
        <v>1013</v>
      </c>
      <c r="J35" s="46"/>
      <c r="K35" s="46"/>
      <c r="L35" s="46"/>
      <c r="M35" s="46"/>
      <c r="N35" s="46"/>
      <c r="O35" s="46"/>
    </row>
    <row r="36" spans="1:15" ht="29.25">
      <c r="A36" s="110"/>
      <c r="B36" s="110"/>
      <c r="C36" s="109" t="s">
        <v>1014</v>
      </c>
      <c r="D36" s="95" t="s">
        <v>1015</v>
      </c>
      <c r="E36" s="95" t="s">
        <v>1016</v>
      </c>
      <c r="F36" s="95" t="s">
        <v>1017</v>
      </c>
      <c r="G36" s="95" t="s">
        <v>977</v>
      </c>
      <c r="H36" s="95" t="s">
        <v>874</v>
      </c>
      <c r="I36" s="96" t="s">
        <v>1018</v>
      </c>
      <c r="J36" s="46"/>
      <c r="K36" s="46"/>
      <c r="L36" s="46"/>
      <c r="M36" s="46"/>
      <c r="N36" s="46"/>
      <c r="O36" s="46"/>
    </row>
    <row r="37" spans="1:15">
      <c r="A37" s="110"/>
      <c r="B37" s="110"/>
      <c r="C37" s="111"/>
      <c r="D37" s="95" t="s">
        <v>1019</v>
      </c>
      <c r="E37" s="95" t="s">
        <v>1020</v>
      </c>
      <c r="F37" s="95" t="s">
        <v>958</v>
      </c>
      <c r="G37" s="95" t="s">
        <v>904</v>
      </c>
      <c r="H37" s="95" t="s">
        <v>874</v>
      </c>
      <c r="I37" s="95" t="s">
        <v>1021</v>
      </c>
      <c r="J37" s="46"/>
      <c r="K37" s="46"/>
      <c r="L37" s="46"/>
      <c r="M37" s="46"/>
      <c r="N37" s="46"/>
      <c r="O37" s="46"/>
    </row>
    <row r="38" spans="1:15">
      <c r="A38" s="110"/>
      <c r="B38" s="110"/>
      <c r="C38" s="103" t="s">
        <v>1022</v>
      </c>
      <c r="D38" s="95" t="s">
        <v>1023</v>
      </c>
      <c r="E38" s="95" t="s">
        <v>1024</v>
      </c>
      <c r="F38" s="95" t="s">
        <v>904</v>
      </c>
      <c r="G38" s="95" t="s">
        <v>462</v>
      </c>
      <c r="H38" s="95" t="s">
        <v>1025</v>
      </c>
      <c r="I38" s="95"/>
      <c r="J38" s="46"/>
      <c r="K38" s="46"/>
      <c r="L38" s="46"/>
      <c r="M38" s="46"/>
      <c r="N38" s="46"/>
      <c r="O38" s="46"/>
    </row>
    <row r="39" spans="1:15">
      <c r="A39" s="110"/>
      <c r="B39" s="110"/>
      <c r="C39" s="104" t="s">
        <v>1026</v>
      </c>
      <c r="D39" s="95" t="s">
        <v>1027</v>
      </c>
      <c r="E39" s="95" t="s">
        <v>1028</v>
      </c>
      <c r="F39" s="95" t="s">
        <v>1029</v>
      </c>
      <c r="G39" s="95" t="s">
        <v>904</v>
      </c>
      <c r="H39" s="95" t="s">
        <v>462</v>
      </c>
      <c r="I39" s="95" t="s">
        <v>1030</v>
      </c>
      <c r="J39" s="46"/>
      <c r="K39" s="46"/>
      <c r="L39" s="46"/>
      <c r="M39" s="46"/>
      <c r="N39" s="46"/>
      <c r="O39" s="46"/>
    </row>
    <row r="40" spans="1:15">
      <c r="A40" s="110"/>
      <c r="B40" s="110"/>
      <c r="C40" s="104" t="s">
        <v>1031</v>
      </c>
      <c r="D40" s="95" t="s">
        <v>1032</v>
      </c>
      <c r="E40" s="95" t="s">
        <v>1033</v>
      </c>
      <c r="F40" s="95" t="s">
        <v>977</v>
      </c>
      <c r="G40" s="95" t="s">
        <v>874</v>
      </c>
      <c r="H40" s="95" t="s">
        <v>1034</v>
      </c>
      <c r="I40" s="95"/>
      <c r="J40" s="46"/>
      <c r="K40" s="46"/>
      <c r="L40" s="46"/>
      <c r="M40" s="46"/>
      <c r="N40" s="46"/>
      <c r="O40" s="46"/>
    </row>
    <row r="41" spans="1:15">
      <c r="A41" s="110"/>
      <c r="B41" s="110"/>
      <c r="C41" s="109" t="s">
        <v>1035</v>
      </c>
      <c r="D41" s="95" t="s">
        <v>1036</v>
      </c>
      <c r="E41" s="95" t="s">
        <v>907</v>
      </c>
      <c r="F41" s="95" t="s">
        <v>1037</v>
      </c>
      <c r="G41" s="95" t="s">
        <v>904</v>
      </c>
      <c r="H41" s="95" t="s">
        <v>462</v>
      </c>
      <c r="I41" s="95" t="s">
        <v>1038</v>
      </c>
      <c r="J41" s="46"/>
      <c r="K41" s="46"/>
      <c r="L41" s="46"/>
      <c r="M41" s="46"/>
      <c r="N41" s="46"/>
      <c r="O41" s="46"/>
    </row>
    <row r="42" spans="1:15">
      <c r="A42" s="110"/>
      <c r="B42" s="110"/>
      <c r="C42" s="111"/>
      <c r="D42" s="95" t="s">
        <v>1039</v>
      </c>
      <c r="E42" s="95" t="s">
        <v>907</v>
      </c>
      <c r="F42" s="95" t="s">
        <v>1040</v>
      </c>
      <c r="G42" s="95" t="s">
        <v>895</v>
      </c>
      <c r="H42" s="95" t="s">
        <v>462</v>
      </c>
      <c r="I42" s="95" t="s">
        <v>1041</v>
      </c>
      <c r="J42" s="46"/>
      <c r="K42" s="46"/>
      <c r="L42" s="46"/>
      <c r="M42" s="46"/>
      <c r="N42" s="46"/>
      <c r="O42" s="46"/>
    </row>
    <row r="43" spans="1:15">
      <c r="A43" s="110"/>
      <c r="B43" s="110"/>
      <c r="C43" s="109" t="s">
        <v>1042</v>
      </c>
      <c r="D43" s="95" t="s">
        <v>1043</v>
      </c>
      <c r="E43" s="95" t="s">
        <v>1044</v>
      </c>
      <c r="F43" s="95" t="s">
        <v>1045</v>
      </c>
      <c r="G43" s="95" t="s">
        <v>895</v>
      </c>
      <c r="H43" s="95" t="s">
        <v>874</v>
      </c>
      <c r="I43" s="95" t="s">
        <v>1046</v>
      </c>
      <c r="J43" s="46"/>
      <c r="K43" s="46"/>
      <c r="L43" s="46"/>
      <c r="M43" s="46"/>
      <c r="N43" s="46"/>
      <c r="O43" s="46"/>
    </row>
    <row r="44" spans="1:15">
      <c r="A44" s="110"/>
      <c r="B44" s="110"/>
      <c r="C44" s="110"/>
      <c r="D44" s="95" t="s">
        <v>1047</v>
      </c>
      <c r="E44" s="95" t="s">
        <v>951</v>
      </c>
      <c r="F44" s="95" t="s">
        <v>1048</v>
      </c>
      <c r="G44" s="95" t="s">
        <v>895</v>
      </c>
      <c r="H44" s="95" t="s">
        <v>874</v>
      </c>
      <c r="I44" s="95" t="s">
        <v>1049</v>
      </c>
      <c r="J44" s="46"/>
      <c r="K44" s="46"/>
      <c r="L44" s="46"/>
      <c r="M44" s="46"/>
      <c r="N44" s="46"/>
      <c r="O44" s="46"/>
    </row>
    <row r="45" spans="1:15">
      <c r="A45" s="110"/>
      <c r="B45" s="111"/>
      <c r="C45" s="111"/>
      <c r="D45" s="95" t="s">
        <v>1050</v>
      </c>
      <c r="E45" s="95" t="s">
        <v>1051</v>
      </c>
      <c r="F45" s="95" t="s">
        <v>1052</v>
      </c>
      <c r="G45" s="95" t="s">
        <v>895</v>
      </c>
      <c r="H45" s="95" t="s">
        <v>874</v>
      </c>
      <c r="I45" s="95" t="s">
        <v>1053</v>
      </c>
      <c r="J45" s="46"/>
      <c r="K45" s="46"/>
      <c r="L45" s="46"/>
      <c r="M45" s="46"/>
      <c r="N45" s="46"/>
      <c r="O45" s="46"/>
    </row>
    <row r="46" spans="1:15">
      <c r="A46" s="110"/>
      <c r="B46" s="109" t="s">
        <v>601</v>
      </c>
      <c r="C46" s="109" t="s">
        <v>1054</v>
      </c>
      <c r="D46" s="95" t="s">
        <v>1055</v>
      </c>
      <c r="E46" s="95" t="s">
        <v>1056</v>
      </c>
      <c r="F46" s="95" t="s">
        <v>958</v>
      </c>
      <c r="G46" s="95" t="s">
        <v>895</v>
      </c>
      <c r="H46" s="95" t="s">
        <v>874</v>
      </c>
      <c r="I46" s="95" t="s">
        <v>1057</v>
      </c>
      <c r="J46" s="46"/>
      <c r="K46" s="46"/>
      <c r="L46" s="46"/>
      <c r="M46" s="46"/>
      <c r="N46" s="46"/>
      <c r="O46" s="46"/>
    </row>
    <row r="47" spans="1:15">
      <c r="A47" s="110"/>
      <c r="B47" s="110"/>
      <c r="C47" s="110"/>
      <c r="D47" s="95" t="s">
        <v>1058</v>
      </c>
      <c r="E47" s="95" t="s">
        <v>947</v>
      </c>
      <c r="F47" s="95" t="s">
        <v>1059</v>
      </c>
      <c r="G47" s="95" t="s">
        <v>895</v>
      </c>
      <c r="H47" s="95" t="s">
        <v>874</v>
      </c>
      <c r="I47" s="95" t="s">
        <v>1060</v>
      </c>
      <c r="J47" s="46"/>
      <c r="K47" s="46"/>
      <c r="L47" s="46"/>
      <c r="M47" s="46"/>
      <c r="N47" s="46"/>
      <c r="O47" s="46"/>
    </row>
    <row r="48" spans="1:15">
      <c r="A48" s="110"/>
      <c r="B48" s="110"/>
      <c r="C48" s="110"/>
      <c r="D48" s="95" t="s">
        <v>1061</v>
      </c>
      <c r="E48" s="95" t="s">
        <v>968</v>
      </c>
      <c r="F48" s="95" t="s">
        <v>969</v>
      </c>
      <c r="G48" s="95" t="s">
        <v>895</v>
      </c>
      <c r="H48" s="95" t="s">
        <v>874</v>
      </c>
      <c r="I48" s="95" t="s">
        <v>954</v>
      </c>
      <c r="J48" s="46"/>
      <c r="K48" s="46"/>
      <c r="L48" s="46"/>
      <c r="M48" s="46"/>
      <c r="N48" s="46"/>
      <c r="O48" s="46"/>
    </row>
    <row r="49" spans="1:15">
      <c r="A49" s="110"/>
      <c r="B49" s="110"/>
      <c r="C49" s="110"/>
      <c r="D49" s="95" t="s">
        <v>1062</v>
      </c>
      <c r="E49" s="95" t="s">
        <v>947</v>
      </c>
      <c r="F49" s="95" t="s">
        <v>1063</v>
      </c>
      <c r="G49" s="95" t="s">
        <v>895</v>
      </c>
      <c r="H49" s="95" t="s">
        <v>874</v>
      </c>
      <c r="I49" s="95" t="s">
        <v>1064</v>
      </c>
      <c r="J49" s="46"/>
      <c r="K49" s="46"/>
      <c r="L49" s="46"/>
      <c r="M49" s="46"/>
      <c r="N49" s="46"/>
      <c r="O49" s="46"/>
    </row>
    <row r="50" spans="1:15">
      <c r="A50" s="110"/>
      <c r="B50" s="111"/>
      <c r="C50" s="111"/>
      <c r="D50" s="95" t="s">
        <v>985</v>
      </c>
      <c r="E50" s="95" t="s">
        <v>1051</v>
      </c>
      <c r="F50" s="95" t="s">
        <v>958</v>
      </c>
      <c r="G50" s="95" t="s">
        <v>895</v>
      </c>
      <c r="H50" s="95" t="s">
        <v>874</v>
      </c>
      <c r="I50" s="95" t="s">
        <v>1065</v>
      </c>
      <c r="J50" s="46"/>
      <c r="K50" s="46"/>
      <c r="L50" s="46"/>
      <c r="M50" s="46"/>
      <c r="N50" s="46"/>
      <c r="O50" s="46"/>
    </row>
    <row r="51" spans="1:15">
      <c r="A51" s="110"/>
      <c r="B51" s="109" t="s">
        <v>1066</v>
      </c>
      <c r="C51" s="109" t="s">
        <v>1067</v>
      </c>
      <c r="D51" s="95" t="s">
        <v>960</v>
      </c>
      <c r="E51" s="95" t="s">
        <v>951</v>
      </c>
      <c r="F51" s="95" t="s">
        <v>961</v>
      </c>
      <c r="G51" s="95" t="s">
        <v>895</v>
      </c>
      <c r="H51" s="95" t="s">
        <v>874</v>
      </c>
      <c r="I51" s="95" t="s">
        <v>1068</v>
      </c>
      <c r="J51" s="46"/>
      <c r="K51" s="46"/>
      <c r="L51" s="46"/>
      <c r="M51" s="46"/>
      <c r="N51" s="46"/>
      <c r="O51" s="46"/>
    </row>
    <row r="52" spans="1:15">
      <c r="A52" s="110"/>
      <c r="B52" s="110"/>
      <c r="C52" s="110"/>
      <c r="D52" s="95" t="s">
        <v>962</v>
      </c>
      <c r="E52" s="95" t="s">
        <v>951</v>
      </c>
      <c r="F52" s="95" t="s">
        <v>1069</v>
      </c>
      <c r="G52" s="95" t="s">
        <v>895</v>
      </c>
      <c r="H52" s="95" t="s">
        <v>874</v>
      </c>
      <c r="I52" s="95" t="s">
        <v>954</v>
      </c>
      <c r="J52" s="46"/>
      <c r="K52" s="46"/>
      <c r="L52" s="46"/>
      <c r="M52" s="46"/>
      <c r="N52" s="46"/>
      <c r="O52" s="46"/>
    </row>
    <row r="53" spans="1:15">
      <c r="A53" s="110"/>
      <c r="B53" s="110"/>
      <c r="C53" s="110"/>
      <c r="D53" s="95" t="s">
        <v>1070</v>
      </c>
      <c r="E53" s="95" t="s">
        <v>1071</v>
      </c>
      <c r="F53" s="95" t="s">
        <v>1072</v>
      </c>
      <c r="G53" s="95" t="s">
        <v>895</v>
      </c>
      <c r="H53" s="95" t="s">
        <v>874</v>
      </c>
      <c r="I53" s="95" t="s">
        <v>1073</v>
      </c>
      <c r="J53" s="46"/>
      <c r="K53" s="46"/>
      <c r="L53" s="46"/>
      <c r="M53" s="46"/>
      <c r="N53" s="46"/>
      <c r="O53" s="46"/>
    </row>
    <row r="54" spans="1:15">
      <c r="A54" s="110"/>
      <c r="B54" s="110"/>
      <c r="C54" s="110"/>
      <c r="D54" s="95" t="s">
        <v>1074</v>
      </c>
      <c r="E54" s="95" t="s">
        <v>917</v>
      </c>
      <c r="F54" s="95" t="s">
        <v>1075</v>
      </c>
      <c r="G54" s="95" t="s">
        <v>895</v>
      </c>
      <c r="H54" s="95" t="s">
        <v>874</v>
      </c>
      <c r="I54" s="95" t="s">
        <v>1076</v>
      </c>
      <c r="J54" s="46"/>
      <c r="K54" s="46"/>
      <c r="L54" s="46"/>
      <c r="M54" s="46"/>
      <c r="N54" s="46"/>
      <c r="O54" s="46"/>
    </row>
    <row r="55" spans="1:15">
      <c r="A55" s="110"/>
      <c r="B55" s="110"/>
      <c r="C55" s="110"/>
      <c r="D55" s="95" t="s">
        <v>1077</v>
      </c>
      <c r="E55" s="95" t="s">
        <v>907</v>
      </c>
      <c r="F55" s="95" t="s">
        <v>1078</v>
      </c>
      <c r="G55" s="95" t="s">
        <v>895</v>
      </c>
      <c r="H55" s="95" t="s">
        <v>874</v>
      </c>
      <c r="I55" s="95" t="s">
        <v>1079</v>
      </c>
      <c r="J55" s="46"/>
      <c r="K55" s="46"/>
      <c r="L55" s="46"/>
      <c r="M55" s="46"/>
      <c r="N55" s="46"/>
      <c r="O55" s="46"/>
    </row>
    <row r="56" spans="1:15">
      <c r="A56" s="110"/>
      <c r="B56" s="111"/>
      <c r="C56" s="111"/>
      <c r="D56" s="95" t="s">
        <v>1080</v>
      </c>
      <c r="E56" s="95" t="s">
        <v>1081</v>
      </c>
      <c r="F56" s="95" t="s">
        <v>1082</v>
      </c>
      <c r="G56" s="95" t="s">
        <v>904</v>
      </c>
      <c r="H56" s="95" t="s">
        <v>874</v>
      </c>
      <c r="I56" s="95" t="s">
        <v>1083</v>
      </c>
      <c r="J56" s="46"/>
      <c r="K56" s="46"/>
      <c r="L56" s="46"/>
      <c r="M56" s="46"/>
      <c r="N56" s="46"/>
      <c r="O56" s="46"/>
    </row>
    <row r="57" spans="1:15" ht="29.25">
      <c r="A57" s="110"/>
      <c r="B57" s="109" t="s">
        <v>608</v>
      </c>
      <c r="C57" s="104" t="s">
        <v>1084</v>
      </c>
      <c r="D57" s="95" t="s">
        <v>1085</v>
      </c>
      <c r="E57" s="95" t="s">
        <v>1086</v>
      </c>
      <c r="F57" s="95" t="s">
        <v>958</v>
      </c>
      <c r="G57" s="95" t="s">
        <v>904</v>
      </c>
      <c r="H57" s="95" t="s">
        <v>1087</v>
      </c>
      <c r="I57" s="96" t="s">
        <v>1088</v>
      </c>
      <c r="J57" s="46"/>
      <c r="K57" s="46"/>
      <c r="L57" s="46"/>
      <c r="M57" s="46"/>
      <c r="N57" s="46"/>
      <c r="O57" s="46"/>
    </row>
    <row r="58" spans="1:15">
      <c r="A58" s="110"/>
      <c r="B58" s="110"/>
      <c r="C58" s="109" t="s">
        <v>1089</v>
      </c>
      <c r="D58" s="95" t="s">
        <v>1090</v>
      </c>
      <c r="E58" s="95" t="s">
        <v>951</v>
      </c>
      <c r="F58" s="95" t="s">
        <v>1091</v>
      </c>
      <c r="G58" s="95" t="s">
        <v>895</v>
      </c>
      <c r="H58" s="95" t="s">
        <v>847</v>
      </c>
      <c r="I58" s="95" t="s">
        <v>1092</v>
      </c>
      <c r="J58" s="46"/>
      <c r="K58" s="46"/>
      <c r="L58" s="46"/>
      <c r="M58" s="46"/>
      <c r="N58" s="46"/>
      <c r="O58" s="46"/>
    </row>
    <row r="59" spans="1:15">
      <c r="A59" s="110"/>
      <c r="B59" s="110"/>
      <c r="C59" s="110"/>
      <c r="D59" s="95" t="s">
        <v>1093</v>
      </c>
      <c r="E59" s="95" t="s">
        <v>1023</v>
      </c>
      <c r="F59" s="95" t="s">
        <v>1094</v>
      </c>
      <c r="G59" s="95" t="s">
        <v>904</v>
      </c>
      <c r="H59" s="95" t="s">
        <v>1095</v>
      </c>
      <c r="I59" s="95" t="s">
        <v>1096</v>
      </c>
      <c r="J59" s="46"/>
      <c r="K59" s="46"/>
      <c r="L59" s="46"/>
      <c r="M59" s="46"/>
      <c r="N59" s="46"/>
      <c r="O59" s="46"/>
    </row>
    <row r="60" spans="1:15">
      <c r="A60" s="110"/>
      <c r="B60" s="110"/>
      <c r="C60" s="110"/>
      <c r="D60" s="95" t="s">
        <v>1097</v>
      </c>
      <c r="E60" s="95" t="s">
        <v>1098</v>
      </c>
      <c r="F60" s="95" t="s">
        <v>1012</v>
      </c>
      <c r="G60" s="95" t="s">
        <v>904</v>
      </c>
      <c r="H60" s="95" t="s">
        <v>1095</v>
      </c>
      <c r="I60" s="95" t="s">
        <v>1099</v>
      </c>
      <c r="J60" s="46"/>
      <c r="K60" s="46"/>
      <c r="L60" s="46"/>
      <c r="M60" s="46"/>
      <c r="N60" s="46"/>
      <c r="O60" s="46"/>
    </row>
    <row r="61" spans="1:15">
      <c r="A61" s="110"/>
      <c r="B61" s="111"/>
      <c r="C61" s="111"/>
      <c r="D61" s="95" t="s">
        <v>1100</v>
      </c>
      <c r="E61" s="95" t="s">
        <v>907</v>
      </c>
      <c r="F61" s="95" t="s">
        <v>1101</v>
      </c>
      <c r="G61" s="95" t="s">
        <v>977</v>
      </c>
      <c r="H61" s="95" t="s">
        <v>1087</v>
      </c>
      <c r="I61" s="95" t="s">
        <v>1102</v>
      </c>
      <c r="J61" s="46"/>
      <c r="K61" s="46"/>
      <c r="L61" s="46"/>
      <c r="M61" s="46"/>
      <c r="N61" s="46"/>
      <c r="O61" s="46"/>
    </row>
    <row r="62" spans="1:15">
      <c r="A62" s="110"/>
      <c r="B62" s="109" t="s">
        <v>1103</v>
      </c>
      <c r="C62" s="109" t="s">
        <v>1104</v>
      </c>
      <c r="D62" s="95" t="s">
        <v>1105</v>
      </c>
      <c r="E62" s="95" t="s">
        <v>1106</v>
      </c>
      <c r="F62" s="95" t="s">
        <v>1107</v>
      </c>
      <c r="G62" s="95" t="s">
        <v>895</v>
      </c>
      <c r="H62" s="95" t="s">
        <v>874</v>
      </c>
      <c r="I62" s="95" t="s">
        <v>1108</v>
      </c>
      <c r="J62" s="46"/>
      <c r="K62" s="46"/>
      <c r="L62" s="46"/>
      <c r="M62" s="46"/>
      <c r="N62" s="46"/>
      <c r="O62" s="46"/>
    </row>
    <row r="63" spans="1:15">
      <c r="A63" s="110"/>
      <c r="B63" s="110"/>
      <c r="C63" s="110"/>
      <c r="D63" s="95" t="s">
        <v>960</v>
      </c>
      <c r="E63" s="95" t="s">
        <v>941</v>
      </c>
      <c r="F63" s="95" t="s">
        <v>961</v>
      </c>
      <c r="G63" s="95" t="s">
        <v>895</v>
      </c>
      <c r="H63" s="95" t="s">
        <v>462</v>
      </c>
      <c r="I63" s="95" t="s">
        <v>1109</v>
      </c>
      <c r="J63" s="46"/>
      <c r="K63" s="46"/>
      <c r="L63" s="46"/>
      <c r="M63" s="46"/>
      <c r="N63" s="46"/>
      <c r="O63" s="46"/>
    </row>
    <row r="64" spans="1:15">
      <c r="A64" s="110"/>
      <c r="B64" s="110"/>
      <c r="C64" s="110"/>
      <c r="D64" s="95" t="s">
        <v>962</v>
      </c>
      <c r="E64" s="95" t="s">
        <v>941</v>
      </c>
      <c r="F64" s="95" t="s">
        <v>1069</v>
      </c>
      <c r="G64" s="95" t="s">
        <v>895</v>
      </c>
      <c r="H64" s="95" t="s">
        <v>462</v>
      </c>
      <c r="I64" s="95" t="s">
        <v>1110</v>
      </c>
      <c r="J64" s="46"/>
      <c r="K64" s="46"/>
      <c r="L64" s="46"/>
      <c r="M64" s="46"/>
      <c r="N64" s="46"/>
      <c r="O64" s="46"/>
    </row>
    <row r="65" spans="1:15">
      <c r="A65" s="110"/>
      <c r="B65" s="110"/>
      <c r="C65" s="110"/>
      <c r="D65" s="95" t="s">
        <v>1111</v>
      </c>
      <c r="E65" s="95" t="s">
        <v>1112</v>
      </c>
      <c r="F65" s="95" t="s">
        <v>1113</v>
      </c>
      <c r="G65" s="95" t="s">
        <v>895</v>
      </c>
      <c r="H65" s="95" t="s">
        <v>462</v>
      </c>
      <c r="I65" s="95" t="s">
        <v>1114</v>
      </c>
      <c r="J65" s="46"/>
      <c r="K65" s="46"/>
      <c r="L65" s="46"/>
      <c r="M65" s="46"/>
      <c r="N65" s="46"/>
      <c r="O65" s="46"/>
    </row>
    <row r="66" spans="1:15">
      <c r="A66" s="110"/>
      <c r="B66" s="110"/>
      <c r="C66" s="110"/>
      <c r="D66" s="95" t="s">
        <v>1115</v>
      </c>
      <c r="E66" s="95" t="s">
        <v>1116</v>
      </c>
      <c r="F66" s="95" t="s">
        <v>1117</v>
      </c>
      <c r="G66" s="95" t="s">
        <v>895</v>
      </c>
      <c r="H66" s="95" t="s">
        <v>462</v>
      </c>
      <c r="I66" s="95" t="s">
        <v>1118</v>
      </c>
      <c r="J66" s="46"/>
      <c r="K66" s="46"/>
      <c r="L66" s="46"/>
      <c r="M66" s="46"/>
      <c r="N66" s="46"/>
      <c r="O66" s="46"/>
    </row>
    <row r="67" spans="1:15">
      <c r="A67" s="110"/>
      <c r="B67" s="110"/>
      <c r="C67" s="110"/>
      <c r="D67" s="95" t="s">
        <v>1119</v>
      </c>
      <c r="E67" s="95" t="s">
        <v>1120</v>
      </c>
      <c r="F67" s="95" t="s">
        <v>1121</v>
      </c>
      <c r="G67" s="95" t="s">
        <v>977</v>
      </c>
      <c r="H67" s="95" t="s">
        <v>874</v>
      </c>
      <c r="I67" s="95" t="s">
        <v>1122</v>
      </c>
      <c r="J67" s="46"/>
      <c r="K67" s="46"/>
      <c r="L67" s="46"/>
      <c r="M67" s="46"/>
      <c r="N67" s="46"/>
      <c r="O67" s="46"/>
    </row>
    <row r="68" spans="1:15">
      <c r="A68" s="110"/>
      <c r="B68" s="110"/>
      <c r="C68" s="110"/>
      <c r="D68" s="95" t="s">
        <v>1123</v>
      </c>
      <c r="E68" s="95" t="s">
        <v>1124</v>
      </c>
      <c r="F68" s="95" t="s">
        <v>1125</v>
      </c>
      <c r="G68" s="95" t="s">
        <v>904</v>
      </c>
      <c r="H68" s="95" t="s">
        <v>462</v>
      </c>
      <c r="I68" s="95" t="s">
        <v>1025</v>
      </c>
      <c r="J68" s="46"/>
      <c r="K68" s="46"/>
      <c r="L68" s="46"/>
      <c r="M68" s="46"/>
      <c r="N68" s="46"/>
      <c r="O68" s="46"/>
    </row>
    <row r="69" spans="1:15">
      <c r="A69" s="110"/>
      <c r="B69" s="111"/>
      <c r="C69" s="111"/>
      <c r="D69" s="95" t="s">
        <v>1126</v>
      </c>
      <c r="E69" s="95" t="s">
        <v>907</v>
      </c>
      <c r="F69" s="95" t="s">
        <v>1127</v>
      </c>
      <c r="G69" s="95" t="s">
        <v>895</v>
      </c>
      <c r="H69" s="95" t="s">
        <v>462</v>
      </c>
      <c r="I69" s="95" t="s">
        <v>1128</v>
      </c>
      <c r="J69" s="46"/>
      <c r="K69" s="46"/>
      <c r="L69" s="46"/>
      <c r="M69" s="46"/>
      <c r="N69" s="46"/>
      <c r="O69" s="46"/>
    </row>
    <row r="70" spans="1:15">
      <c r="A70" s="110"/>
      <c r="B70" s="109" t="s">
        <v>1129</v>
      </c>
      <c r="C70" s="109" t="s">
        <v>1130</v>
      </c>
      <c r="D70" s="95" t="s">
        <v>1131</v>
      </c>
      <c r="E70" s="95" t="s">
        <v>947</v>
      </c>
      <c r="F70" s="95" t="s">
        <v>1132</v>
      </c>
      <c r="G70" s="95" t="s">
        <v>895</v>
      </c>
      <c r="H70" s="95" t="s">
        <v>874</v>
      </c>
      <c r="I70" s="95" t="s">
        <v>1133</v>
      </c>
      <c r="J70" s="46"/>
      <c r="K70" s="46"/>
      <c r="L70" s="46"/>
      <c r="M70" s="46"/>
      <c r="N70" s="46"/>
      <c r="O70" s="46"/>
    </row>
    <row r="71" spans="1:15">
      <c r="A71" s="110"/>
      <c r="B71" s="110"/>
      <c r="C71" s="111"/>
      <c r="D71" s="95" t="s">
        <v>1134</v>
      </c>
      <c r="E71" s="95" t="s">
        <v>902</v>
      </c>
      <c r="F71" s="95" t="s">
        <v>1135</v>
      </c>
      <c r="G71" s="95" t="s">
        <v>904</v>
      </c>
      <c r="H71" s="95" t="s">
        <v>874</v>
      </c>
      <c r="I71" s="95" t="s">
        <v>1136</v>
      </c>
      <c r="J71" s="46"/>
      <c r="K71" s="46"/>
      <c r="L71" s="46"/>
      <c r="M71" s="46"/>
      <c r="N71" s="46"/>
      <c r="O71" s="46"/>
    </row>
    <row r="72" spans="1:15">
      <c r="A72" s="110"/>
      <c r="B72" s="111"/>
      <c r="C72" s="104" t="s">
        <v>1137</v>
      </c>
      <c r="D72" s="95" t="s">
        <v>1138</v>
      </c>
      <c r="E72" s="95" t="s">
        <v>1086</v>
      </c>
      <c r="F72" s="95" t="s">
        <v>958</v>
      </c>
      <c r="G72" s="95" t="s">
        <v>904</v>
      </c>
      <c r="H72" s="95" t="s">
        <v>874</v>
      </c>
      <c r="I72" s="95" t="s">
        <v>1139</v>
      </c>
      <c r="J72" s="46"/>
      <c r="K72" s="46"/>
      <c r="L72" s="46"/>
      <c r="M72" s="46"/>
      <c r="N72" s="46"/>
      <c r="O72" s="46"/>
    </row>
    <row r="73" spans="1:15">
      <c r="A73" s="110"/>
      <c r="B73" s="109" t="s">
        <v>634</v>
      </c>
      <c r="C73" s="109" t="s">
        <v>1140</v>
      </c>
      <c r="D73" s="95" t="s">
        <v>1141</v>
      </c>
      <c r="E73" s="95" t="s">
        <v>1142</v>
      </c>
      <c r="F73" s="95" t="s">
        <v>1143</v>
      </c>
      <c r="G73" s="95" t="s">
        <v>904</v>
      </c>
      <c r="H73" s="95" t="s">
        <v>874</v>
      </c>
      <c r="I73" s="95" t="s">
        <v>1144</v>
      </c>
      <c r="J73" s="46"/>
      <c r="K73" s="46"/>
      <c r="L73" s="46"/>
      <c r="M73" s="46"/>
      <c r="N73" s="46"/>
      <c r="O73" s="46"/>
    </row>
    <row r="74" spans="1:15">
      <c r="A74" s="110"/>
      <c r="B74" s="110"/>
      <c r="C74" s="110"/>
      <c r="D74" s="95" t="s">
        <v>1145</v>
      </c>
      <c r="E74" s="95" t="s">
        <v>1146</v>
      </c>
      <c r="F74" s="95" t="s">
        <v>1147</v>
      </c>
      <c r="G74" s="95" t="s">
        <v>895</v>
      </c>
      <c r="H74" s="95" t="s">
        <v>874</v>
      </c>
      <c r="I74" s="95" t="s">
        <v>1148</v>
      </c>
      <c r="J74" s="46"/>
      <c r="K74" s="46"/>
      <c r="L74" s="46"/>
      <c r="M74" s="46"/>
      <c r="N74" s="46"/>
      <c r="O74" s="46"/>
    </row>
    <row r="75" spans="1:15">
      <c r="A75" s="110"/>
      <c r="B75" s="110"/>
      <c r="C75" s="110"/>
      <c r="D75" s="95" t="s">
        <v>1149</v>
      </c>
      <c r="E75" s="95" t="s">
        <v>1150</v>
      </c>
      <c r="F75" s="95" t="s">
        <v>1151</v>
      </c>
      <c r="G75" s="95" t="s">
        <v>895</v>
      </c>
      <c r="H75" s="95" t="s">
        <v>874</v>
      </c>
      <c r="I75" s="95" t="s">
        <v>1152</v>
      </c>
      <c r="J75" s="46"/>
      <c r="K75" s="46"/>
      <c r="L75" s="46"/>
      <c r="M75" s="46"/>
      <c r="N75" s="46"/>
      <c r="O75" s="46"/>
    </row>
    <row r="76" spans="1:15">
      <c r="A76" s="110"/>
      <c r="B76" s="110"/>
      <c r="C76" s="110"/>
      <c r="D76" s="95" t="s">
        <v>1153</v>
      </c>
      <c r="E76" s="95" t="s">
        <v>1146</v>
      </c>
      <c r="F76" s="98" t="s">
        <v>1154</v>
      </c>
      <c r="G76" s="95" t="s">
        <v>904</v>
      </c>
      <c r="H76" s="95" t="s">
        <v>874</v>
      </c>
      <c r="I76" s="95" t="s">
        <v>1155</v>
      </c>
      <c r="J76" s="46"/>
      <c r="K76" s="46"/>
      <c r="L76" s="46"/>
      <c r="M76" s="46"/>
      <c r="N76" s="46"/>
      <c r="O76" s="46"/>
    </row>
    <row r="77" spans="1:15">
      <c r="A77" s="110"/>
      <c r="B77" s="110"/>
      <c r="C77" s="110"/>
      <c r="D77" s="95" t="s">
        <v>1156</v>
      </c>
      <c r="E77" s="95" t="s">
        <v>1150</v>
      </c>
      <c r="F77" s="95" t="s">
        <v>1157</v>
      </c>
      <c r="G77" s="95" t="s">
        <v>895</v>
      </c>
      <c r="H77" s="95" t="s">
        <v>874</v>
      </c>
      <c r="I77" s="95" t="s">
        <v>1158</v>
      </c>
      <c r="J77" s="46"/>
      <c r="K77" s="46"/>
      <c r="L77" s="46"/>
      <c r="M77" s="46"/>
      <c r="N77" s="46"/>
      <c r="O77" s="46"/>
    </row>
    <row r="78" spans="1:15">
      <c r="A78" s="110"/>
      <c r="B78" s="110"/>
      <c r="C78" s="111"/>
      <c r="D78" s="95" t="s">
        <v>1159</v>
      </c>
      <c r="E78" s="95" t="s">
        <v>1160</v>
      </c>
      <c r="F78" s="95" t="s">
        <v>1161</v>
      </c>
      <c r="G78" s="95" t="s">
        <v>895</v>
      </c>
      <c r="H78" s="95" t="s">
        <v>874</v>
      </c>
      <c r="I78" s="95" t="s">
        <v>1162</v>
      </c>
      <c r="J78" s="46"/>
      <c r="K78" s="46"/>
      <c r="L78" s="46"/>
      <c r="M78" s="46"/>
      <c r="N78" s="46"/>
      <c r="O78" s="46"/>
    </row>
    <row r="79" spans="1:15">
      <c r="A79" s="110"/>
      <c r="B79" s="110"/>
      <c r="C79" s="109" t="s">
        <v>1163</v>
      </c>
      <c r="D79" s="95" t="s">
        <v>1164</v>
      </c>
      <c r="E79" s="95" t="s">
        <v>951</v>
      </c>
      <c r="F79" s="95" t="s">
        <v>1165</v>
      </c>
      <c r="G79" s="95" t="s">
        <v>895</v>
      </c>
      <c r="H79" s="95" t="s">
        <v>874</v>
      </c>
      <c r="I79" s="95" t="s">
        <v>1166</v>
      </c>
      <c r="J79" s="46"/>
      <c r="K79" s="46"/>
      <c r="L79" s="46"/>
      <c r="M79" s="46"/>
      <c r="N79" s="46"/>
      <c r="O79" s="46"/>
    </row>
    <row r="80" spans="1:15">
      <c r="A80" s="110"/>
      <c r="B80" s="110"/>
      <c r="C80" s="110"/>
      <c r="D80" s="95" t="s">
        <v>1167</v>
      </c>
      <c r="E80" s="95" t="s">
        <v>947</v>
      </c>
      <c r="F80" s="95" t="s">
        <v>1168</v>
      </c>
      <c r="G80" s="95" t="s">
        <v>895</v>
      </c>
      <c r="H80" s="95" t="s">
        <v>874</v>
      </c>
      <c r="I80" s="95" t="s">
        <v>954</v>
      </c>
      <c r="J80" s="46"/>
      <c r="K80" s="46"/>
      <c r="L80" s="46"/>
      <c r="M80" s="46"/>
      <c r="N80" s="46"/>
      <c r="O80" s="46"/>
    </row>
    <row r="81" spans="1:15">
      <c r="A81" s="110"/>
      <c r="B81" s="110"/>
      <c r="C81" s="110"/>
      <c r="D81" s="95" t="s">
        <v>1169</v>
      </c>
      <c r="E81" s="95" t="s">
        <v>951</v>
      </c>
      <c r="F81" s="95" t="s">
        <v>1170</v>
      </c>
      <c r="G81" s="95" t="s">
        <v>904</v>
      </c>
      <c r="H81" s="95" t="s">
        <v>874</v>
      </c>
      <c r="I81" s="95" t="s">
        <v>954</v>
      </c>
      <c r="J81" s="46"/>
      <c r="K81" s="46"/>
      <c r="L81" s="46"/>
      <c r="M81" s="46"/>
      <c r="N81" s="46"/>
      <c r="O81" s="46"/>
    </row>
    <row r="82" spans="1:15">
      <c r="A82" s="110"/>
      <c r="B82" s="110"/>
      <c r="C82" s="110"/>
      <c r="D82" s="95" t="s">
        <v>1171</v>
      </c>
      <c r="E82" s="95" t="s">
        <v>1172</v>
      </c>
      <c r="F82" s="95" t="s">
        <v>1173</v>
      </c>
      <c r="G82" s="95" t="s">
        <v>895</v>
      </c>
      <c r="H82" s="95" t="s">
        <v>874</v>
      </c>
      <c r="I82" s="95" t="s">
        <v>1174</v>
      </c>
      <c r="J82" s="46"/>
      <c r="K82" s="46"/>
      <c r="L82" s="46"/>
      <c r="M82" s="46"/>
      <c r="N82" s="46"/>
      <c r="O82" s="46"/>
    </row>
    <row r="83" spans="1:15">
      <c r="A83" s="110"/>
      <c r="B83" s="110"/>
      <c r="C83" s="110"/>
      <c r="D83" s="95" t="s">
        <v>1175</v>
      </c>
      <c r="E83" s="95" t="s">
        <v>1172</v>
      </c>
      <c r="F83" s="95" t="s">
        <v>1176</v>
      </c>
      <c r="G83" s="95" t="s">
        <v>895</v>
      </c>
      <c r="H83" s="95" t="s">
        <v>874</v>
      </c>
      <c r="I83" s="95" t="s">
        <v>954</v>
      </c>
      <c r="J83" s="46"/>
      <c r="K83" s="46"/>
      <c r="L83" s="46"/>
      <c r="M83" s="46"/>
      <c r="N83" s="46"/>
      <c r="O83" s="46"/>
    </row>
    <row r="84" spans="1:15">
      <c r="A84" s="110"/>
      <c r="B84" s="110"/>
      <c r="C84" s="111"/>
      <c r="D84" s="95" t="s">
        <v>1177</v>
      </c>
      <c r="E84" s="95" t="s">
        <v>941</v>
      </c>
      <c r="F84" s="95" t="s">
        <v>1178</v>
      </c>
      <c r="G84" s="95" t="s">
        <v>904</v>
      </c>
      <c r="H84" s="95" t="s">
        <v>944</v>
      </c>
      <c r="I84" s="95" t="s">
        <v>1179</v>
      </c>
      <c r="J84" s="46"/>
      <c r="K84" s="46"/>
      <c r="L84" s="46"/>
      <c r="M84" s="46"/>
      <c r="N84" s="46"/>
      <c r="O84" s="46"/>
    </row>
    <row r="85" spans="1:15">
      <c r="A85" s="110"/>
      <c r="B85" s="110"/>
      <c r="C85" s="109" t="s">
        <v>1180</v>
      </c>
      <c r="D85" s="95" t="s">
        <v>1181</v>
      </c>
      <c r="E85" s="95" t="s">
        <v>1182</v>
      </c>
      <c r="F85" s="95" t="s">
        <v>958</v>
      </c>
      <c r="G85" s="95" t="s">
        <v>904</v>
      </c>
      <c r="H85" s="95" t="s">
        <v>874</v>
      </c>
      <c r="I85" s="95" t="s">
        <v>1183</v>
      </c>
      <c r="J85" s="46"/>
      <c r="K85" s="46"/>
      <c r="L85" s="46"/>
      <c r="M85" s="46"/>
      <c r="N85" s="46"/>
      <c r="O85" s="46"/>
    </row>
    <row r="86" spans="1:15">
      <c r="A86" s="110"/>
      <c r="B86" s="110"/>
      <c r="C86" s="110"/>
      <c r="D86" s="95" t="s">
        <v>1184</v>
      </c>
      <c r="E86" s="95" t="s">
        <v>1185</v>
      </c>
      <c r="F86" s="95" t="s">
        <v>1186</v>
      </c>
      <c r="G86" s="95" t="s">
        <v>904</v>
      </c>
      <c r="H86" s="95" t="s">
        <v>874</v>
      </c>
      <c r="I86" s="95" t="s">
        <v>1187</v>
      </c>
      <c r="J86" s="46"/>
      <c r="K86" s="46"/>
      <c r="L86" s="46"/>
      <c r="M86" s="46"/>
      <c r="N86" s="46"/>
      <c r="O86" s="46"/>
    </row>
    <row r="87" spans="1:15">
      <c r="A87" s="110"/>
      <c r="B87" s="110"/>
      <c r="C87" s="110"/>
      <c r="D87" s="95" t="s">
        <v>1188</v>
      </c>
      <c r="E87" s="95" t="s">
        <v>941</v>
      </c>
      <c r="F87" s="95" t="s">
        <v>1189</v>
      </c>
      <c r="G87" s="95" t="s">
        <v>904</v>
      </c>
      <c r="H87" s="95" t="s">
        <v>874</v>
      </c>
      <c r="I87" s="95" t="s">
        <v>1190</v>
      </c>
      <c r="J87" s="46"/>
      <c r="K87" s="46"/>
      <c r="L87" s="46"/>
      <c r="M87" s="46"/>
      <c r="N87" s="46"/>
      <c r="O87" s="46"/>
    </row>
    <row r="88" spans="1:15">
      <c r="A88" s="110"/>
      <c r="B88" s="110"/>
      <c r="C88" s="110"/>
      <c r="D88" s="95" t="s">
        <v>1191</v>
      </c>
      <c r="E88" s="95" t="s">
        <v>1192</v>
      </c>
      <c r="F88" s="95" t="s">
        <v>1193</v>
      </c>
      <c r="G88" s="95" t="s">
        <v>904</v>
      </c>
      <c r="H88" s="95" t="s">
        <v>874</v>
      </c>
      <c r="I88" s="95" t="s">
        <v>1194</v>
      </c>
      <c r="J88" s="46"/>
      <c r="K88" s="46"/>
      <c r="L88" s="46"/>
      <c r="M88" s="46"/>
      <c r="N88" s="46"/>
      <c r="O88" s="46"/>
    </row>
    <row r="89" spans="1:15">
      <c r="A89" s="110"/>
      <c r="B89" s="110"/>
      <c r="C89" s="110"/>
      <c r="D89" s="95" t="s">
        <v>1195</v>
      </c>
      <c r="E89" s="95" t="s">
        <v>1196</v>
      </c>
      <c r="F89" s="95" t="s">
        <v>1197</v>
      </c>
      <c r="G89" s="95" t="s">
        <v>904</v>
      </c>
      <c r="H89" s="95" t="s">
        <v>874</v>
      </c>
      <c r="I89" s="95" t="s">
        <v>1198</v>
      </c>
      <c r="J89" s="46"/>
      <c r="K89" s="46"/>
      <c r="L89" s="46"/>
      <c r="M89" s="46"/>
      <c r="N89" s="46"/>
      <c r="O89" s="46"/>
    </row>
    <row r="90" spans="1:15">
      <c r="A90" s="110"/>
      <c r="B90" s="110"/>
      <c r="C90" s="110"/>
      <c r="D90" s="95" t="s">
        <v>1199</v>
      </c>
      <c r="E90" s="95" t="s">
        <v>993</v>
      </c>
      <c r="F90" s="95" t="s">
        <v>1200</v>
      </c>
      <c r="G90" s="95" t="s">
        <v>904</v>
      </c>
      <c r="H90" s="95" t="s">
        <v>874</v>
      </c>
      <c r="I90" s="95" t="s">
        <v>954</v>
      </c>
      <c r="J90" s="46"/>
      <c r="K90" s="46"/>
      <c r="L90" s="46"/>
      <c r="M90" s="46"/>
      <c r="N90" s="46"/>
      <c r="O90" s="46"/>
    </row>
    <row r="91" spans="1:15">
      <c r="A91" s="110"/>
      <c r="B91" s="110"/>
      <c r="C91" s="110"/>
      <c r="D91" s="95" t="s">
        <v>1201</v>
      </c>
      <c r="E91" s="95" t="s">
        <v>902</v>
      </c>
      <c r="F91" s="95" t="s">
        <v>1202</v>
      </c>
      <c r="G91" s="95" t="s">
        <v>904</v>
      </c>
      <c r="H91" s="95" t="s">
        <v>874</v>
      </c>
      <c r="I91" s="95" t="s">
        <v>1203</v>
      </c>
      <c r="J91" s="46"/>
      <c r="K91" s="46"/>
      <c r="L91" s="46"/>
      <c r="M91" s="46"/>
      <c r="N91" s="46"/>
      <c r="O91" s="46"/>
    </row>
    <row r="92" spans="1:15">
      <c r="A92" s="110"/>
      <c r="B92" s="110"/>
      <c r="C92" s="111"/>
      <c r="D92" s="95" t="s">
        <v>1204</v>
      </c>
      <c r="E92" s="95" t="s">
        <v>1205</v>
      </c>
      <c r="F92" s="95" t="s">
        <v>1206</v>
      </c>
      <c r="G92" s="95" t="s">
        <v>904</v>
      </c>
      <c r="H92" s="95" t="s">
        <v>874</v>
      </c>
      <c r="I92" s="95" t="s">
        <v>1207</v>
      </c>
      <c r="J92" s="46"/>
      <c r="K92" s="46"/>
      <c r="L92" s="46"/>
      <c r="M92" s="46"/>
      <c r="N92" s="46"/>
      <c r="O92" s="46"/>
    </row>
    <row r="93" spans="1:15">
      <c r="A93" s="110"/>
      <c r="B93" s="110"/>
      <c r="C93" s="109" t="s">
        <v>1208</v>
      </c>
      <c r="D93" s="95" t="s">
        <v>1209</v>
      </c>
      <c r="E93" s="95" t="s">
        <v>907</v>
      </c>
      <c r="F93" s="95" t="s">
        <v>1210</v>
      </c>
      <c r="G93" s="95" t="s">
        <v>895</v>
      </c>
      <c r="H93" s="95" t="s">
        <v>874</v>
      </c>
      <c r="I93" s="95" t="s">
        <v>1211</v>
      </c>
      <c r="J93" s="46"/>
      <c r="K93" s="46"/>
      <c r="L93" s="46"/>
      <c r="M93" s="46"/>
      <c r="N93" s="46"/>
      <c r="O93" s="46"/>
    </row>
    <row r="94" spans="1:15">
      <c r="A94" s="110"/>
      <c r="B94" s="110"/>
      <c r="C94" s="111"/>
      <c r="D94" s="95" t="s">
        <v>1212</v>
      </c>
      <c r="E94" s="95" t="s">
        <v>902</v>
      </c>
      <c r="F94" s="95" t="s">
        <v>958</v>
      </c>
      <c r="G94" s="95" t="s">
        <v>904</v>
      </c>
      <c r="H94" s="95" t="s">
        <v>438</v>
      </c>
      <c r="I94" s="95" t="s">
        <v>1213</v>
      </c>
      <c r="J94" s="46"/>
      <c r="K94" s="46"/>
      <c r="L94" s="46"/>
      <c r="M94" s="46"/>
      <c r="N94" s="46"/>
      <c r="O94" s="46"/>
    </row>
    <row r="95" spans="1:15">
      <c r="A95" s="110"/>
      <c r="B95" s="110"/>
      <c r="C95" s="104" t="s">
        <v>1214</v>
      </c>
      <c r="D95" s="95" t="s">
        <v>1215</v>
      </c>
      <c r="E95" s="95" t="s">
        <v>1086</v>
      </c>
      <c r="F95" s="95" t="s">
        <v>1216</v>
      </c>
      <c r="G95" s="95" t="s">
        <v>904</v>
      </c>
      <c r="H95" s="95" t="s">
        <v>874</v>
      </c>
      <c r="I95" s="95" t="s">
        <v>1217</v>
      </c>
      <c r="J95" s="46"/>
      <c r="K95" s="46"/>
      <c r="L95" s="46"/>
      <c r="M95" s="46"/>
      <c r="N95" s="46"/>
      <c r="O95" s="46"/>
    </row>
    <row r="96" spans="1:15">
      <c r="A96" s="110"/>
      <c r="B96" s="111"/>
      <c r="C96" s="103" t="s">
        <v>1218</v>
      </c>
      <c r="D96" s="95" t="s">
        <v>1219</v>
      </c>
      <c r="E96" s="95" t="s">
        <v>1220</v>
      </c>
      <c r="F96" s="95" t="s">
        <v>1221</v>
      </c>
      <c r="G96" s="95" t="s">
        <v>904</v>
      </c>
      <c r="H96" s="95" t="s">
        <v>874</v>
      </c>
      <c r="I96" s="95" t="s">
        <v>1222</v>
      </c>
      <c r="J96" s="46"/>
      <c r="K96" s="46"/>
      <c r="L96" s="46"/>
      <c r="M96" s="46"/>
      <c r="N96" s="46"/>
      <c r="O96" s="46"/>
    </row>
    <row r="97" spans="1:15">
      <c r="A97" s="110"/>
      <c r="B97" s="109" t="s">
        <v>643</v>
      </c>
      <c r="C97" s="109" t="s">
        <v>1223</v>
      </c>
      <c r="D97" s="95" t="s">
        <v>1224</v>
      </c>
      <c r="E97" s="95" t="s">
        <v>1225</v>
      </c>
      <c r="F97" s="95" t="s">
        <v>1226</v>
      </c>
      <c r="G97" s="95" t="s">
        <v>904</v>
      </c>
      <c r="H97" s="95" t="s">
        <v>874</v>
      </c>
      <c r="I97" s="95" t="s">
        <v>1227</v>
      </c>
      <c r="J97" s="46"/>
      <c r="K97" s="46"/>
      <c r="L97" s="46"/>
      <c r="M97" s="46"/>
      <c r="N97" s="46"/>
      <c r="O97" s="46"/>
    </row>
    <row r="98" spans="1:15">
      <c r="A98" s="110"/>
      <c r="B98" s="110"/>
      <c r="C98" s="111"/>
      <c r="D98" s="95" t="s">
        <v>1228</v>
      </c>
      <c r="E98" s="95" t="s">
        <v>907</v>
      </c>
      <c r="F98" s="95" t="s">
        <v>1229</v>
      </c>
      <c r="G98" s="95" t="s">
        <v>904</v>
      </c>
      <c r="H98" s="95" t="s">
        <v>874</v>
      </c>
      <c r="I98" s="95" t="s">
        <v>1230</v>
      </c>
      <c r="J98" s="46"/>
      <c r="K98" s="46"/>
      <c r="L98" s="46"/>
      <c r="M98" s="46"/>
      <c r="N98" s="46"/>
      <c r="O98" s="46"/>
    </row>
    <row r="99" spans="1:15">
      <c r="A99" s="110"/>
      <c r="B99" s="110"/>
      <c r="C99" s="109" t="s">
        <v>1231</v>
      </c>
      <c r="D99" s="95" t="s">
        <v>1232</v>
      </c>
      <c r="E99" s="95" t="s">
        <v>1146</v>
      </c>
      <c r="F99" s="95" t="s">
        <v>1233</v>
      </c>
      <c r="G99" s="95" t="s">
        <v>895</v>
      </c>
      <c r="H99" s="95" t="s">
        <v>462</v>
      </c>
      <c r="I99" s="95" t="s">
        <v>1234</v>
      </c>
      <c r="J99" s="46"/>
      <c r="K99" s="46"/>
      <c r="L99" s="46"/>
      <c r="M99" s="46"/>
      <c r="N99" s="46"/>
      <c r="O99" s="46"/>
    </row>
    <row r="100" spans="1:15">
      <c r="A100" s="110"/>
      <c r="B100" s="110"/>
      <c r="C100" s="110"/>
      <c r="D100" s="95" t="s">
        <v>1235</v>
      </c>
      <c r="E100" s="95" t="s">
        <v>941</v>
      </c>
      <c r="F100" s="95" t="s">
        <v>1236</v>
      </c>
      <c r="G100" s="95" t="s">
        <v>895</v>
      </c>
      <c r="H100" s="95" t="s">
        <v>462</v>
      </c>
      <c r="I100" s="95" t="s">
        <v>1237</v>
      </c>
      <c r="J100" s="46"/>
      <c r="K100" s="46"/>
      <c r="L100" s="46"/>
      <c r="M100" s="46"/>
      <c r="N100" s="46"/>
      <c r="O100" s="46"/>
    </row>
    <row r="101" spans="1:15">
      <c r="A101" s="110"/>
      <c r="B101" s="110"/>
      <c r="C101" s="110"/>
      <c r="D101" s="95" t="s">
        <v>1238</v>
      </c>
      <c r="E101" s="95" t="s">
        <v>1023</v>
      </c>
      <c r="F101" s="95" t="s">
        <v>1239</v>
      </c>
      <c r="G101" s="95" t="s">
        <v>895</v>
      </c>
      <c r="H101" s="95" t="s">
        <v>462</v>
      </c>
      <c r="I101" s="95" t="s">
        <v>1240</v>
      </c>
      <c r="J101" s="46"/>
      <c r="K101" s="46"/>
      <c r="L101" s="46"/>
      <c r="M101" s="46"/>
      <c r="N101" s="46"/>
      <c r="O101" s="46"/>
    </row>
    <row r="102" spans="1:15" ht="29.25">
      <c r="A102" s="110"/>
      <c r="B102" s="110"/>
      <c r="C102" s="110"/>
      <c r="D102" s="95" t="s">
        <v>1241</v>
      </c>
      <c r="E102" s="95" t="s">
        <v>1098</v>
      </c>
      <c r="F102" s="95" t="s">
        <v>1242</v>
      </c>
      <c r="G102" s="95" t="s">
        <v>904</v>
      </c>
      <c r="H102" s="95" t="s">
        <v>462</v>
      </c>
      <c r="I102" s="96" t="s">
        <v>1243</v>
      </c>
      <c r="J102" s="46"/>
      <c r="K102" s="46"/>
      <c r="L102" s="46"/>
      <c r="M102" s="46"/>
      <c r="N102" s="46"/>
      <c r="O102" s="46"/>
    </row>
    <row r="103" spans="1:15">
      <c r="A103" s="110"/>
      <c r="B103" s="110"/>
      <c r="C103" s="110"/>
      <c r="D103" s="95" t="s">
        <v>1244</v>
      </c>
      <c r="E103" s="95" t="s">
        <v>1245</v>
      </c>
      <c r="F103" s="95" t="s">
        <v>1107</v>
      </c>
      <c r="G103" s="95" t="s">
        <v>895</v>
      </c>
      <c r="H103" s="95" t="s">
        <v>874</v>
      </c>
      <c r="I103" s="95" t="s">
        <v>1246</v>
      </c>
      <c r="J103" s="46"/>
      <c r="K103" s="46"/>
      <c r="L103" s="46"/>
      <c r="M103" s="46"/>
      <c r="N103" s="46"/>
      <c r="O103" s="46"/>
    </row>
    <row r="104" spans="1:15">
      <c r="A104" s="110"/>
      <c r="B104" s="110"/>
      <c r="C104" s="110"/>
      <c r="D104" s="95" t="s">
        <v>1247</v>
      </c>
      <c r="E104" s="95" t="s">
        <v>1248</v>
      </c>
      <c r="F104" s="95" t="s">
        <v>1249</v>
      </c>
      <c r="G104" s="95" t="s">
        <v>904</v>
      </c>
      <c r="H104" s="95" t="s">
        <v>462</v>
      </c>
      <c r="I104" s="95" t="s">
        <v>1250</v>
      </c>
      <c r="J104" s="46"/>
      <c r="K104" s="46"/>
      <c r="L104" s="46"/>
      <c r="M104" s="46"/>
      <c r="N104" s="46"/>
      <c r="O104" s="46"/>
    </row>
    <row r="105" spans="1:15">
      <c r="A105" s="110"/>
      <c r="B105" s="110"/>
      <c r="C105" s="110"/>
      <c r="D105" s="95" t="s">
        <v>1251</v>
      </c>
      <c r="E105" s="95" t="s">
        <v>941</v>
      </c>
      <c r="F105" s="95" t="s">
        <v>1252</v>
      </c>
      <c r="G105" s="95" t="s">
        <v>904</v>
      </c>
      <c r="H105" s="95" t="s">
        <v>462</v>
      </c>
      <c r="I105" s="95" t="s">
        <v>1253</v>
      </c>
      <c r="J105" s="46"/>
      <c r="K105" s="46"/>
      <c r="L105" s="46"/>
      <c r="M105" s="46"/>
      <c r="N105" s="46"/>
      <c r="O105" s="46"/>
    </row>
    <row r="106" spans="1:15">
      <c r="A106" s="110"/>
      <c r="B106" s="110"/>
      <c r="C106" s="111"/>
      <c r="D106" s="95" t="s">
        <v>1254</v>
      </c>
      <c r="E106" s="95" t="s">
        <v>907</v>
      </c>
      <c r="F106" s="95" t="s">
        <v>1255</v>
      </c>
      <c r="G106" s="95" t="s">
        <v>895</v>
      </c>
      <c r="H106" s="95" t="s">
        <v>462</v>
      </c>
      <c r="I106" s="95" t="s">
        <v>1256</v>
      </c>
      <c r="J106" s="46"/>
      <c r="K106" s="46"/>
      <c r="L106" s="46"/>
      <c r="M106" s="46"/>
      <c r="N106" s="46"/>
      <c r="O106" s="46"/>
    </row>
    <row r="107" spans="1:15">
      <c r="A107" s="110"/>
      <c r="B107" s="110"/>
      <c r="C107" s="109" t="s">
        <v>1257</v>
      </c>
      <c r="D107" s="95" t="s">
        <v>1084</v>
      </c>
      <c r="E107" s="95" t="s">
        <v>1086</v>
      </c>
      <c r="F107" s="95" t="s">
        <v>1258</v>
      </c>
      <c r="G107" s="95" t="s">
        <v>904</v>
      </c>
      <c r="H107" s="95" t="s">
        <v>874</v>
      </c>
      <c r="I107" s="95" t="s">
        <v>1259</v>
      </c>
      <c r="J107" s="46"/>
      <c r="K107" s="46"/>
      <c r="L107" s="46"/>
      <c r="M107" s="46"/>
      <c r="N107" s="46"/>
      <c r="O107" s="46"/>
    </row>
    <row r="108" spans="1:15">
      <c r="A108" s="110"/>
      <c r="B108" s="110"/>
      <c r="C108" s="111"/>
      <c r="D108" s="95" t="s">
        <v>1260</v>
      </c>
      <c r="E108" s="95" t="s">
        <v>1261</v>
      </c>
      <c r="F108" s="95" t="s">
        <v>1262</v>
      </c>
      <c r="G108" s="95" t="s">
        <v>904</v>
      </c>
      <c r="H108" s="95" t="s">
        <v>874</v>
      </c>
      <c r="I108" s="95" t="s">
        <v>1263</v>
      </c>
      <c r="J108" s="46"/>
      <c r="K108" s="46"/>
      <c r="L108" s="46"/>
      <c r="M108" s="46"/>
      <c r="N108" s="46"/>
      <c r="O108" s="46"/>
    </row>
    <row r="109" spans="1:15">
      <c r="A109" s="110"/>
      <c r="B109" s="110"/>
      <c r="C109" s="109" t="s">
        <v>1264</v>
      </c>
      <c r="D109" s="95" t="s">
        <v>1090</v>
      </c>
      <c r="E109" s="95" t="s">
        <v>951</v>
      </c>
      <c r="F109" s="95" t="s">
        <v>1265</v>
      </c>
      <c r="G109" s="95" t="s">
        <v>895</v>
      </c>
      <c r="H109" s="95" t="s">
        <v>874</v>
      </c>
      <c r="I109" s="95" t="s">
        <v>1266</v>
      </c>
      <c r="J109" s="46"/>
      <c r="K109" s="46"/>
      <c r="L109" s="46"/>
      <c r="M109" s="46"/>
      <c r="N109" s="46"/>
      <c r="O109" s="46"/>
    </row>
    <row r="110" spans="1:15">
      <c r="A110" s="110"/>
      <c r="B110" s="110"/>
      <c r="C110" s="110"/>
      <c r="D110" s="95" t="s">
        <v>1267</v>
      </c>
      <c r="E110" s="95" t="s">
        <v>1268</v>
      </c>
      <c r="F110" s="95" t="s">
        <v>1269</v>
      </c>
      <c r="G110" s="95" t="s">
        <v>904</v>
      </c>
      <c r="H110" s="95" t="s">
        <v>874</v>
      </c>
      <c r="I110" s="95" t="s">
        <v>1270</v>
      </c>
      <c r="J110" s="46"/>
      <c r="K110" s="46"/>
      <c r="L110" s="46"/>
      <c r="M110" s="46"/>
      <c r="N110" s="46"/>
      <c r="O110" s="46"/>
    </row>
    <row r="111" spans="1:15">
      <c r="A111" s="110"/>
      <c r="B111" s="110"/>
      <c r="C111" s="110"/>
      <c r="D111" s="95" t="s">
        <v>1271</v>
      </c>
      <c r="E111" s="95" t="s">
        <v>1023</v>
      </c>
      <c r="F111" s="95" t="s">
        <v>1272</v>
      </c>
      <c r="G111" s="95" t="s">
        <v>904</v>
      </c>
      <c r="H111" s="95" t="s">
        <v>462</v>
      </c>
      <c r="I111" s="95" t="s">
        <v>1273</v>
      </c>
      <c r="J111" s="46"/>
      <c r="K111" s="46"/>
      <c r="L111" s="46"/>
      <c r="M111" s="46"/>
      <c r="N111" s="46"/>
      <c r="O111" s="46"/>
    </row>
    <row r="112" spans="1:15">
      <c r="A112" s="110"/>
      <c r="B112" s="110"/>
      <c r="C112" s="110"/>
      <c r="D112" s="95" t="s">
        <v>1123</v>
      </c>
      <c r="E112" s="95" t="s">
        <v>1098</v>
      </c>
      <c r="F112" s="95" t="s">
        <v>1274</v>
      </c>
      <c r="G112" s="95" t="s">
        <v>904</v>
      </c>
      <c r="H112" s="95" t="s">
        <v>462</v>
      </c>
      <c r="I112" s="95" t="s">
        <v>1275</v>
      </c>
      <c r="J112" s="46"/>
      <c r="K112" s="46"/>
      <c r="L112" s="46"/>
      <c r="M112" s="46"/>
      <c r="N112" s="46"/>
      <c r="O112" s="46"/>
    </row>
    <row r="113" spans="1:15">
      <c r="A113" s="110"/>
      <c r="B113" s="110"/>
      <c r="C113" s="110"/>
      <c r="D113" s="95" t="s">
        <v>1276</v>
      </c>
      <c r="E113" s="95" t="s">
        <v>907</v>
      </c>
      <c r="F113" s="95" t="s">
        <v>1277</v>
      </c>
      <c r="G113" s="95" t="s">
        <v>977</v>
      </c>
      <c r="H113" s="95" t="s">
        <v>462</v>
      </c>
      <c r="I113" s="95" t="s">
        <v>1278</v>
      </c>
      <c r="J113" s="46"/>
      <c r="K113" s="46"/>
      <c r="L113" s="46"/>
      <c r="M113" s="46"/>
      <c r="N113" s="46"/>
      <c r="O113" s="46"/>
    </row>
    <row r="114" spans="1:15">
      <c r="A114" s="110"/>
      <c r="B114" s="110"/>
      <c r="C114" s="111"/>
      <c r="D114" s="95" t="s">
        <v>1279</v>
      </c>
      <c r="E114" s="95" t="s">
        <v>907</v>
      </c>
      <c r="F114" s="95" t="s">
        <v>1280</v>
      </c>
      <c r="G114" s="95" t="s">
        <v>977</v>
      </c>
      <c r="H114" s="95" t="s">
        <v>944</v>
      </c>
      <c r="I114" s="95" t="s">
        <v>1281</v>
      </c>
      <c r="J114" s="46"/>
      <c r="K114" s="46"/>
      <c r="L114" s="46"/>
      <c r="M114" s="46"/>
      <c r="N114" s="46"/>
      <c r="O114" s="46"/>
    </row>
    <row r="115" spans="1:15">
      <c r="A115" s="110"/>
      <c r="B115" s="110"/>
      <c r="C115" s="104" t="s">
        <v>1282</v>
      </c>
      <c r="D115" s="95" t="s">
        <v>1283</v>
      </c>
      <c r="E115" s="95" t="s">
        <v>1284</v>
      </c>
      <c r="F115" s="95" t="s">
        <v>1285</v>
      </c>
      <c r="G115" s="95" t="s">
        <v>904</v>
      </c>
      <c r="H115" s="95" t="s">
        <v>874</v>
      </c>
      <c r="I115" s="95" t="s">
        <v>1286</v>
      </c>
      <c r="J115" s="46"/>
      <c r="K115" s="46"/>
      <c r="L115" s="46"/>
      <c r="M115" s="46"/>
      <c r="N115" s="46"/>
      <c r="O115" s="46"/>
    </row>
    <row r="116" spans="1:15">
      <c r="A116" s="110"/>
      <c r="B116" s="110"/>
      <c r="C116" s="104" t="s">
        <v>1287</v>
      </c>
      <c r="D116" s="95" t="s">
        <v>1288</v>
      </c>
      <c r="E116" s="95" t="s">
        <v>1289</v>
      </c>
      <c r="F116" s="95" t="s">
        <v>1290</v>
      </c>
      <c r="G116" s="95" t="s">
        <v>904</v>
      </c>
      <c r="H116" s="95" t="s">
        <v>874</v>
      </c>
      <c r="I116" s="95" t="s">
        <v>1291</v>
      </c>
      <c r="J116" s="46"/>
      <c r="K116" s="46"/>
      <c r="L116" s="46"/>
      <c r="M116" s="46"/>
      <c r="N116" s="46"/>
      <c r="O116" s="46"/>
    </row>
    <row r="117" spans="1:15">
      <c r="A117" s="110"/>
      <c r="B117" s="110"/>
      <c r="C117" s="104" t="s">
        <v>1292</v>
      </c>
      <c r="D117" s="95" t="s">
        <v>1293</v>
      </c>
      <c r="E117" s="95" t="s">
        <v>1294</v>
      </c>
      <c r="F117" s="95" t="s">
        <v>1295</v>
      </c>
      <c r="G117" s="95" t="s">
        <v>904</v>
      </c>
      <c r="H117" s="95" t="s">
        <v>874</v>
      </c>
      <c r="I117" s="95" t="s">
        <v>1296</v>
      </c>
      <c r="J117" s="46"/>
      <c r="K117" s="46"/>
      <c r="L117" s="46"/>
      <c r="M117" s="46"/>
      <c r="N117" s="46"/>
      <c r="O117" s="46"/>
    </row>
    <row r="118" spans="1:15">
      <c r="A118" s="110"/>
      <c r="B118" s="110"/>
      <c r="C118" s="104" t="s">
        <v>1297</v>
      </c>
      <c r="D118" s="95" t="s">
        <v>1298</v>
      </c>
      <c r="E118" s="95" t="s">
        <v>1299</v>
      </c>
      <c r="F118" s="95" t="s">
        <v>1300</v>
      </c>
      <c r="G118" s="95" t="s">
        <v>1301</v>
      </c>
      <c r="H118" s="95" t="s">
        <v>874</v>
      </c>
      <c r="I118" s="95" t="s">
        <v>1302</v>
      </c>
      <c r="J118" s="46"/>
      <c r="K118" s="46"/>
      <c r="L118" s="46"/>
      <c r="M118" s="46"/>
      <c r="N118" s="46"/>
      <c r="O118" s="46"/>
    </row>
    <row r="119" spans="1:15">
      <c r="A119" s="111"/>
      <c r="B119" s="111"/>
      <c r="C119" s="104" t="s">
        <v>1303</v>
      </c>
      <c r="D119" s="95" t="s">
        <v>1304</v>
      </c>
      <c r="E119" s="95" t="s">
        <v>1305</v>
      </c>
      <c r="F119" s="95" t="s">
        <v>1306</v>
      </c>
      <c r="G119" s="95" t="s">
        <v>895</v>
      </c>
      <c r="H119" s="95" t="s">
        <v>874</v>
      </c>
      <c r="I119" s="95" t="s">
        <v>1307</v>
      </c>
      <c r="J119" s="46"/>
      <c r="K119" s="46"/>
      <c r="L119" s="46"/>
      <c r="M119" s="46"/>
      <c r="N119" s="46"/>
      <c r="O119" s="46"/>
    </row>
    <row r="120" spans="1:15">
      <c r="A120" s="100"/>
      <c r="B120" s="100"/>
      <c r="C120" s="101"/>
      <c r="D120" s="101"/>
      <c r="E120" s="101"/>
      <c r="F120" s="101"/>
      <c r="G120" s="101"/>
      <c r="H120" s="101"/>
      <c r="I120" s="101"/>
      <c r="J120" s="46"/>
      <c r="K120" s="46"/>
      <c r="L120" s="46"/>
      <c r="M120" s="46"/>
      <c r="N120" s="46"/>
      <c r="O120" s="46"/>
    </row>
    <row r="121" spans="1:15" ht="21">
      <c r="A121" s="102" t="s">
        <v>1308</v>
      </c>
      <c r="B121" s="102"/>
    </row>
    <row r="122" spans="1:15" ht="21">
      <c r="A122" s="159" t="s">
        <v>1309</v>
      </c>
      <c r="B122" s="159"/>
      <c r="C122" s="159"/>
      <c r="D122" s="159"/>
    </row>
    <row r="123" spans="1:15">
      <c r="A123" s="160" t="s">
        <v>1310</v>
      </c>
      <c r="B123" s="160"/>
      <c r="C123" s="160"/>
      <c r="D123" s="160"/>
    </row>
    <row r="124" spans="1:15">
      <c r="A124" s="155" t="s">
        <v>1311</v>
      </c>
      <c r="B124" s="155"/>
      <c r="C124" s="155"/>
      <c r="D124" s="155"/>
    </row>
    <row r="125" spans="1:15">
      <c r="A125" s="160" t="s">
        <v>1312</v>
      </c>
      <c r="B125" s="160"/>
      <c r="C125" s="160"/>
      <c r="D125" s="160"/>
    </row>
    <row r="126" spans="1:15">
      <c r="A126" s="160" t="s">
        <v>1313</v>
      </c>
      <c r="B126" s="160"/>
      <c r="C126" s="160"/>
      <c r="D126" s="160"/>
    </row>
    <row r="127" spans="1:15">
      <c r="A127" s="155" t="s">
        <v>1314</v>
      </c>
      <c r="B127" s="155"/>
      <c r="C127" s="155"/>
      <c r="D127" s="155"/>
    </row>
    <row r="128" spans="1:15">
      <c r="A128" s="160" t="s">
        <v>1315</v>
      </c>
      <c r="B128" s="160"/>
      <c r="C128" s="160"/>
      <c r="D128" s="160"/>
    </row>
    <row r="129" spans="1:4">
      <c r="A129" s="155" t="s">
        <v>1316</v>
      </c>
      <c r="B129" s="155"/>
      <c r="C129" s="155"/>
      <c r="D129" s="155"/>
    </row>
    <row r="130" spans="1:4">
      <c r="A130" s="160" t="s">
        <v>1317</v>
      </c>
      <c r="B130" s="160"/>
      <c r="C130" s="160"/>
      <c r="D130" s="160"/>
    </row>
    <row r="131" spans="1:4">
      <c r="A131" s="160" t="s">
        <v>1318</v>
      </c>
      <c r="B131" s="160"/>
      <c r="C131" s="160"/>
      <c r="D131" s="160"/>
    </row>
    <row r="132" spans="1:4" ht="31.5">
      <c r="A132" s="161" t="s">
        <v>1319</v>
      </c>
      <c r="B132" s="161"/>
      <c r="C132" s="161"/>
      <c r="D132" s="161"/>
    </row>
    <row r="133" spans="1:4">
      <c r="A133" s="155" t="s">
        <v>1320</v>
      </c>
      <c r="B133" s="155"/>
      <c r="C133" s="155"/>
      <c r="D133" s="155"/>
    </row>
    <row r="134" spans="1:4">
      <c r="A134" s="160" t="s">
        <v>1321</v>
      </c>
      <c r="B134" s="160"/>
      <c r="C134" s="160"/>
      <c r="D134" s="160"/>
    </row>
    <row r="135" spans="1:4">
      <c r="A135" s="160" t="s">
        <v>1322</v>
      </c>
      <c r="B135" s="160"/>
      <c r="C135" s="160"/>
      <c r="D135" s="160"/>
    </row>
    <row r="136" spans="1:4">
      <c r="A136" s="160" t="s">
        <v>1323</v>
      </c>
      <c r="B136" s="160"/>
      <c r="C136" s="160"/>
      <c r="D136" s="160"/>
    </row>
    <row r="137" spans="1:4">
      <c r="A137" s="155" t="s">
        <v>1324</v>
      </c>
      <c r="B137" s="155"/>
      <c r="C137" s="155"/>
      <c r="D137" s="155"/>
    </row>
    <row r="138" spans="1:4">
      <c r="A138" s="160" t="s">
        <v>1325</v>
      </c>
      <c r="B138" s="160"/>
      <c r="C138" s="160"/>
      <c r="D138" s="160"/>
    </row>
    <row r="139" spans="1:4">
      <c r="A139" s="160" t="s">
        <v>1326</v>
      </c>
      <c r="B139" s="160"/>
      <c r="C139" s="160"/>
      <c r="D139" s="160"/>
    </row>
    <row r="140" spans="1:4">
      <c r="A140" s="160" t="s">
        <v>1327</v>
      </c>
      <c r="B140" s="160"/>
      <c r="C140" s="160"/>
      <c r="D140" s="160"/>
    </row>
    <row r="141" spans="1:4">
      <c r="A141" s="160" t="s">
        <v>1328</v>
      </c>
      <c r="B141" s="160"/>
      <c r="C141" s="160"/>
      <c r="D141" s="160"/>
    </row>
    <row r="142" spans="1:4">
      <c r="A142" s="160" t="s">
        <v>1329</v>
      </c>
      <c r="B142" s="160"/>
      <c r="C142" s="160"/>
      <c r="D142" s="160"/>
    </row>
    <row r="143" spans="1:4">
      <c r="A143" s="160" t="s">
        <v>1330</v>
      </c>
      <c r="B143" s="160"/>
      <c r="C143" s="160"/>
      <c r="D143" s="160"/>
    </row>
    <row r="144" spans="1:4">
      <c r="A144" s="160" t="s">
        <v>1331</v>
      </c>
      <c r="B144" s="160"/>
      <c r="C144" s="160"/>
      <c r="D144" s="160"/>
    </row>
    <row r="145" spans="1:4">
      <c r="A145" s="160" t="s">
        <v>1332</v>
      </c>
      <c r="B145" s="160"/>
      <c r="C145" s="160"/>
      <c r="D145" s="160"/>
    </row>
    <row r="146" spans="1:4">
      <c r="A146" s="160" t="s">
        <v>1333</v>
      </c>
      <c r="B146" s="160"/>
      <c r="C146" s="160"/>
      <c r="D146" s="160"/>
    </row>
    <row r="147" spans="1:4">
      <c r="A147" s="160" t="s">
        <v>1334</v>
      </c>
      <c r="B147" s="160"/>
      <c r="C147" s="160"/>
      <c r="D147" s="160"/>
    </row>
    <row r="148" spans="1:4">
      <c r="A148" s="155" t="s">
        <v>1335</v>
      </c>
      <c r="B148" s="155"/>
      <c r="C148" s="155"/>
      <c r="D148" s="155"/>
    </row>
    <row r="149" spans="1:4">
      <c r="A149" s="160" t="s">
        <v>1336</v>
      </c>
      <c r="B149" s="160"/>
      <c r="C149" s="160"/>
      <c r="D149" s="160"/>
    </row>
    <row r="150" spans="1:4">
      <c r="A150" s="160" t="s">
        <v>1337</v>
      </c>
      <c r="B150" s="160"/>
      <c r="C150" s="160"/>
      <c r="D150" s="160"/>
    </row>
    <row r="151" spans="1:4">
      <c r="A151" s="160" t="s">
        <v>1338</v>
      </c>
      <c r="B151" s="160"/>
      <c r="C151" s="160"/>
      <c r="D151" s="160"/>
    </row>
    <row r="152" spans="1:4">
      <c r="A152" s="160" t="s">
        <v>1339</v>
      </c>
      <c r="B152" s="160"/>
      <c r="C152" s="160"/>
      <c r="D152" s="160"/>
    </row>
    <row r="153" spans="1:4" ht="31.5">
      <c r="A153" s="161" t="s">
        <v>1340</v>
      </c>
      <c r="B153" s="161"/>
      <c r="C153" s="161"/>
      <c r="D153" s="161"/>
    </row>
    <row r="154" spans="1:4">
      <c r="A154" s="155" t="s">
        <v>1320</v>
      </c>
      <c r="B154" s="155"/>
      <c r="C154" s="155"/>
      <c r="D154" s="155"/>
    </row>
    <row r="155" spans="1:4">
      <c r="A155" s="160" t="s">
        <v>1341</v>
      </c>
      <c r="B155" s="160"/>
      <c r="C155" s="160"/>
      <c r="D155" s="160"/>
    </row>
    <row r="156" spans="1:4">
      <c r="A156" s="160" t="s">
        <v>1342</v>
      </c>
      <c r="B156" s="160"/>
      <c r="C156" s="160"/>
      <c r="D156" s="160"/>
    </row>
    <row r="157" spans="1:4">
      <c r="A157" s="155" t="s">
        <v>1343</v>
      </c>
      <c r="B157" s="155"/>
      <c r="C157" s="155"/>
      <c r="D157" s="155"/>
    </row>
    <row r="158" spans="1:4">
      <c r="A158" s="160" t="s">
        <v>1344</v>
      </c>
      <c r="B158" s="160"/>
      <c r="C158" s="160"/>
      <c r="D158" s="160"/>
    </row>
    <row r="159" spans="1:4">
      <c r="A159" s="160" t="s">
        <v>1345</v>
      </c>
      <c r="B159" s="160"/>
      <c r="C159" s="160"/>
      <c r="D159" s="160"/>
    </row>
    <row r="160" spans="1:4">
      <c r="A160" s="160" t="s">
        <v>1346</v>
      </c>
      <c r="B160" s="160"/>
      <c r="C160" s="160"/>
      <c r="D160" s="160"/>
    </row>
    <row r="161" spans="1:4">
      <c r="A161" s="160" t="s">
        <v>1347</v>
      </c>
      <c r="B161" s="160"/>
      <c r="C161" s="160"/>
      <c r="D161" s="160"/>
    </row>
    <row r="162" spans="1:4">
      <c r="A162" s="160" t="s">
        <v>1348</v>
      </c>
      <c r="B162" s="160"/>
      <c r="C162" s="160"/>
      <c r="D162" s="160"/>
    </row>
    <row r="163" spans="1:4">
      <c r="A163" s="155" t="s">
        <v>1335</v>
      </c>
      <c r="B163" s="155"/>
      <c r="C163" s="155"/>
      <c r="D163" s="155"/>
    </row>
    <row r="164" spans="1:4">
      <c r="A164" s="160" t="s">
        <v>1349</v>
      </c>
      <c r="B164" s="160"/>
      <c r="C164" s="160"/>
      <c r="D164" s="160"/>
    </row>
    <row r="165" spans="1:4">
      <c r="A165" s="160" t="s">
        <v>1350</v>
      </c>
      <c r="B165" s="160"/>
      <c r="C165" s="160"/>
      <c r="D165" s="160"/>
    </row>
    <row r="166" spans="1:4" ht="31.5">
      <c r="A166" s="161" t="s">
        <v>1351</v>
      </c>
      <c r="B166" s="161"/>
      <c r="C166" s="161"/>
      <c r="D166" s="161"/>
    </row>
    <row r="167" spans="1:4">
      <c r="A167" s="155" t="s">
        <v>1320</v>
      </c>
      <c r="B167" s="155"/>
      <c r="C167" s="155"/>
      <c r="D167" s="155"/>
    </row>
    <row r="168" spans="1:4">
      <c r="A168" s="160" t="s">
        <v>1352</v>
      </c>
      <c r="B168" s="160"/>
      <c r="C168" s="160"/>
      <c r="D168" s="160"/>
    </row>
    <row r="169" spans="1:4">
      <c r="A169" s="160" t="s">
        <v>1353</v>
      </c>
      <c r="B169" s="160"/>
      <c r="C169" s="160"/>
      <c r="D169" s="160"/>
    </row>
    <row r="170" spans="1:4">
      <c r="A170" s="160" t="s">
        <v>1354</v>
      </c>
      <c r="B170" s="160"/>
      <c r="C170" s="160"/>
      <c r="D170" s="160"/>
    </row>
    <row r="171" spans="1:4">
      <c r="A171" s="155" t="s">
        <v>1343</v>
      </c>
      <c r="B171" s="155"/>
      <c r="C171" s="155"/>
      <c r="D171" s="155"/>
    </row>
    <row r="172" spans="1:4">
      <c r="A172" s="160" t="s">
        <v>1355</v>
      </c>
      <c r="B172" s="160"/>
      <c r="C172" s="160"/>
      <c r="D172" s="160"/>
    </row>
    <row r="173" spans="1:4">
      <c r="A173" s="160" t="s">
        <v>1356</v>
      </c>
      <c r="B173" s="160"/>
      <c r="C173" s="160"/>
      <c r="D173" s="160"/>
    </row>
    <row r="174" spans="1:4">
      <c r="A174" s="160" t="s">
        <v>1357</v>
      </c>
      <c r="B174" s="160"/>
      <c r="C174" s="160"/>
      <c r="D174" s="160"/>
    </row>
    <row r="175" spans="1:4">
      <c r="A175" s="160" t="s">
        <v>1358</v>
      </c>
      <c r="B175" s="160"/>
      <c r="C175" s="160"/>
      <c r="D175" s="160"/>
    </row>
    <row r="176" spans="1:4">
      <c r="A176" s="160" t="s">
        <v>1359</v>
      </c>
      <c r="B176" s="160"/>
      <c r="C176" s="160"/>
      <c r="D176" s="160"/>
    </row>
    <row r="177" spans="1:4">
      <c r="A177" s="160" t="s">
        <v>1360</v>
      </c>
      <c r="B177" s="160"/>
      <c r="C177" s="160"/>
      <c r="D177" s="160"/>
    </row>
    <row r="178" spans="1:4">
      <c r="A178" s="160" t="s">
        <v>1361</v>
      </c>
      <c r="B178" s="160"/>
      <c r="C178" s="160"/>
      <c r="D178" s="160"/>
    </row>
    <row r="179" spans="1:4">
      <c r="A179" s="155" t="s">
        <v>1335</v>
      </c>
      <c r="B179" s="155"/>
      <c r="C179" s="155"/>
      <c r="D179" s="155"/>
    </row>
    <row r="180" spans="1:4">
      <c r="A180" s="160" t="s">
        <v>1362</v>
      </c>
      <c r="B180" s="160"/>
      <c r="C180" s="160"/>
      <c r="D180" s="160"/>
    </row>
    <row r="181" spans="1:4">
      <c r="A181" s="160" t="s">
        <v>1363</v>
      </c>
      <c r="B181" s="160"/>
      <c r="C181" s="160"/>
      <c r="D181" s="160"/>
    </row>
    <row r="182" spans="1:4">
      <c r="A182" s="160" t="s">
        <v>1364</v>
      </c>
      <c r="B182" s="160"/>
      <c r="C182" s="160"/>
      <c r="D182" s="160"/>
    </row>
    <row r="183" spans="1:4">
      <c r="A183" s="160" t="s">
        <v>1365</v>
      </c>
      <c r="B183" s="160"/>
      <c r="C183" s="160"/>
      <c r="D183" s="160"/>
    </row>
    <row r="184" spans="1:4">
      <c r="A184" s="160" t="s">
        <v>1364</v>
      </c>
      <c r="B184" s="160"/>
      <c r="C184" s="160"/>
      <c r="D184" s="160"/>
    </row>
    <row r="185" spans="1:4">
      <c r="A185" s="160" t="s">
        <v>1366</v>
      </c>
      <c r="B185" s="160"/>
      <c r="C185" s="160"/>
      <c r="D185" s="160"/>
    </row>
    <row r="186" spans="1:4">
      <c r="A186" s="160" t="s">
        <v>1367</v>
      </c>
      <c r="B186" s="160"/>
      <c r="C186" s="160"/>
      <c r="D186" s="160"/>
    </row>
    <row r="187" spans="1:4">
      <c r="A187" s="160" t="s">
        <v>1368</v>
      </c>
      <c r="B187" s="160"/>
      <c r="C187" s="160"/>
      <c r="D187" s="160"/>
    </row>
    <row r="188" spans="1:4" ht="31.5">
      <c r="A188" s="161" t="s">
        <v>1369</v>
      </c>
      <c r="B188" s="161"/>
      <c r="C188" s="161"/>
      <c r="D188" s="161"/>
    </row>
    <row r="189" spans="1:4">
      <c r="A189" s="155" t="s">
        <v>1320</v>
      </c>
      <c r="B189" s="155"/>
      <c r="C189" s="155"/>
      <c r="D189" s="155"/>
    </row>
    <row r="190" spans="1:4">
      <c r="A190" s="160" t="s">
        <v>1370</v>
      </c>
      <c r="B190" s="160"/>
      <c r="C190" s="160"/>
      <c r="D190" s="160"/>
    </row>
    <row r="191" spans="1:4">
      <c r="A191" s="160" t="s">
        <v>1371</v>
      </c>
      <c r="B191" s="160"/>
      <c r="C191" s="160"/>
      <c r="D191" s="160"/>
    </row>
    <row r="192" spans="1:4">
      <c r="A192" s="160" t="s">
        <v>1372</v>
      </c>
      <c r="B192" s="160"/>
      <c r="C192" s="160"/>
      <c r="D192" s="160"/>
    </row>
    <row r="193" spans="1:4">
      <c r="A193" s="155" t="s">
        <v>1343</v>
      </c>
      <c r="B193" s="155"/>
      <c r="C193" s="155"/>
      <c r="D193" s="155"/>
    </row>
    <row r="194" spans="1:4">
      <c r="A194" s="160" t="s">
        <v>1373</v>
      </c>
      <c r="B194" s="160"/>
      <c r="C194" s="160"/>
      <c r="D194" s="160"/>
    </row>
    <row r="195" spans="1:4">
      <c r="A195" s="160" t="s">
        <v>1374</v>
      </c>
      <c r="B195" s="160"/>
      <c r="C195" s="160"/>
      <c r="D195" s="160"/>
    </row>
    <row r="196" spans="1:4">
      <c r="A196" s="160" t="s">
        <v>1375</v>
      </c>
      <c r="B196" s="160"/>
      <c r="C196" s="160"/>
      <c r="D196" s="160"/>
    </row>
    <row r="197" spans="1:4">
      <c r="A197" s="160" t="s">
        <v>1376</v>
      </c>
      <c r="B197" s="160"/>
      <c r="C197" s="160"/>
      <c r="D197" s="160"/>
    </row>
    <row r="198" spans="1:4">
      <c r="A198" s="160" t="s">
        <v>1377</v>
      </c>
      <c r="B198" s="160"/>
      <c r="C198" s="160"/>
      <c r="D198" s="160"/>
    </row>
    <row r="199" spans="1:4">
      <c r="A199" s="160" t="s">
        <v>1378</v>
      </c>
      <c r="B199" s="160"/>
      <c r="C199" s="160"/>
      <c r="D199" s="160"/>
    </row>
    <row r="200" spans="1:4">
      <c r="A200" s="160" t="s">
        <v>1379</v>
      </c>
      <c r="B200" s="160"/>
      <c r="C200" s="160"/>
      <c r="D200" s="160"/>
    </row>
    <row r="201" spans="1:4">
      <c r="A201" s="160" t="s">
        <v>1123</v>
      </c>
      <c r="B201" s="160"/>
      <c r="C201" s="160"/>
      <c r="D201" s="160"/>
    </row>
    <row r="202" spans="1:4">
      <c r="A202" s="160" t="s">
        <v>1380</v>
      </c>
      <c r="B202" s="160"/>
      <c r="C202" s="160"/>
      <c r="D202" s="160"/>
    </row>
    <row r="203" spans="1:4">
      <c r="A203" s="160" t="s">
        <v>1381</v>
      </c>
      <c r="B203" s="160"/>
      <c r="C203" s="160"/>
      <c r="D203" s="160"/>
    </row>
    <row r="204" spans="1:4">
      <c r="A204" s="155" t="s">
        <v>1335</v>
      </c>
      <c r="B204" s="155"/>
      <c r="C204" s="155"/>
      <c r="D204" s="155"/>
    </row>
    <row r="205" spans="1:4">
      <c r="A205" s="160" t="s">
        <v>1382</v>
      </c>
      <c r="B205" s="160"/>
      <c r="C205" s="160"/>
      <c r="D205" s="160"/>
    </row>
    <row r="206" spans="1:4">
      <c r="A206" s="160" t="s">
        <v>1383</v>
      </c>
      <c r="B206" s="160"/>
      <c r="C206" s="160"/>
      <c r="D206" s="160"/>
    </row>
    <row r="207" spans="1:4" ht="31.5">
      <c r="A207" s="161" t="s">
        <v>1384</v>
      </c>
      <c r="B207" s="161"/>
      <c r="C207" s="161"/>
      <c r="D207" s="161"/>
    </row>
    <row r="208" spans="1:4">
      <c r="A208" s="155" t="s">
        <v>1320</v>
      </c>
      <c r="B208" s="155"/>
      <c r="C208" s="155"/>
      <c r="D208" s="155"/>
    </row>
    <row r="209" spans="1:4">
      <c r="A209" s="160" t="s">
        <v>1385</v>
      </c>
      <c r="B209" s="160"/>
      <c r="C209" s="160"/>
      <c r="D209" s="160"/>
    </row>
    <row r="210" spans="1:4">
      <c r="A210" s="160" t="s">
        <v>1386</v>
      </c>
      <c r="B210" s="160"/>
      <c r="C210" s="160"/>
      <c r="D210" s="160"/>
    </row>
    <row r="211" spans="1:4">
      <c r="A211" s="155" t="s">
        <v>1343</v>
      </c>
      <c r="B211" s="155"/>
      <c r="C211" s="155"/>
      <c r="D211" s="155"/>
    </row>
    <row r="212" spans="1:4">
      <c r="A212" s="160" t="s">
        <v>1387</v>
      </c>
      <c r="B212" s="160"/>
      <c r="C212" s="160"/>
      <c r="D212" s="160"/>
    </row>
    <row r="213" spans="1:4">
      <c r="A213" s="160" t="s">
        <v>1388</v>
      </c>
      <c r="B213" s="160"/>
      <c r="C213" s="160"/>
      <c r="D213" s="160"/>
    </row>
    <row r="214" spans="1:4">
      <c r="A214" s="160" t="s">
        <v>1389</v>
      </c>
      <c r="B214" s="160"/>
      <c r="C214" s="160"/>
      <c r="D214" s="160"/>
    </row>
    <row r="215" spans="1:4">
      <c r="A215" s="155" t="s">
        <v>1335</v>
      </c>
      <c r="B215" s="155"/>
      <c r="C215" s="155"/>
      <c r="D215" s="155"/>
    </row>
    <row r="216" spans="1:4">
      <c r="A216" s="160" t="s">
        <v>1390</v>
      </c>
      <c r="B216" s="160"/>
      <c r="C216" s="160"/>
      <c r="D216" s="160"/>
    </row>
    <row r="217" spans="1:4">
      <c r="A217" s="160" t="s">
        <v>1391</v>
      </c>
      <c r="B217" s="160"/>
      <c r="C217" s="160"/>
      <c r="D217" s="160"/>
    </row>
    <row r="218" spans="1:4">
      <c r="A218" s="160" t="s">
        <v>1392</v>
      </c>
      <c r="B218" s="160"/>
      <c r="C218" s="160"/>
      <c r="D218" s="160"/>
    </row>
    <row r="219" spans="1:4" ht="31.5">
      <c r="A219" s="161" t="s">
        <v>1393</v>
      </c>
      <c r="B219" s="161"/>
      <c r="C219" s="161"/>
      <c r="D219" s="161"/>
    </row>
    <row r="220" spans="1:4">
      <c r="A220" s="155" t="s">
        <v>1320</v>
      </c>
      <c r="B220" s="155"/>
      <c r="C220" s="155"/>
      <c r="D220" s="155"/>
    </row>
    <row r="221" spans="1:4">
      <c r="A221" s="160" t="s">
        <v>1394</v>
      </c>
      <c r="B221" s="160"/>
      <c r="C221" s="160"/>
      <c r="D221" s="160"/>
    </row>
    <row r="222" spans="1:4">
      <c r="A222" s="160" t="s">
        <v>1395</v>
      </c>
      <c r="B222" s="160"/>
      <c r="C222" s="160"/>
      <c r="D222" s="160"/>
    </row>
    <row r="223" spans="1:4">
      <c r="A223" s="160" t="s">
        <v>1396</v>
      </c>
      <c r="B223" s="160"/>
      <c r="C223" s="160"/>
      <c r="D223" s="160"/>
    </row>
    <row r="224" spans="1:4">
      <c r="A224" s="155" t="s">
        <v>1343</v>
      </c>
      <c r="B224" s="155"/>
      <c r="C224" s="155"/>
      <c r="D224" s="155"/>
    </row>
    <row r="225" spans="1:4">
      <c r="A225" s="160" t="s">
        <v>1397</v>
      </c>
      <c r="B225" s="160"/>
      <c r="C225" s="160"/>
      <c r="D225" s="160"/>
    </row>
    <row r="226" spans="1:4">
      <c r="A226" s="160" t="s">
        <v>1398</v>
      </c>
      <c r="B226" s="160"/>
      <c r="C226" s="160"/>
      <c r="D226" s="160"/>
    </row>
    <row r="227" spans="1:4">
      <c r="A227" s="160" t="s">
        <v>1399</v>
      </c>
      <c r="B227" s="160"/>
      <c r="C227" s="160"/>
      <c r="D227" s="160"/>
    </row>
    <row r="228" spans="1:4">
      <c r="A228" s="155" t="s">
        <v>1335</v>
      </c>
      <c r="B228" s="155"/>
      <c r="C228" s="155"/>
      <c r="D228" s="155"/>
    </row>
    <row r="229" spans="1:4">
      <c r="A229" s="160" t="s">
        <v>1400</v>
      </c>
      <c r="B229" s="160"/>
      <c r="C229" s="160"/>
      <c r="D229" s="160"/>
    </row>
    <row r="230" spans="1:4">
      <c r="A230" s="160" t="s">
        <v>1401</v>
      </c>
      <c r="B230" s="160"/>
      <c r="C230" s="160"/>
      <c r="D230" s="160"/>
    </row>
    <row r="231" spans="1:4">
      <c r="A231" s="160" t="s">
        <v>1402</v>
      </c>
      <c r="B231" s="160"/>
      <c r="C231" s="160"/>
      <c r="D231" s="160"/>
    </row>
    <row r="232" spans="1:4">
      <c r="A232" s="160" t="s">
        <v>1403</v>
      </c>
      <c r="B232" s="160"/>
      <c r="C232" s="160"/>
      <c r="D232" s="160"/>
    </row>
    <row r="233" spans="1:4" ht="31.5">
      <c r="A233" s="161" t="s">
        <v>1404</v>
      </c>
      <c r="B233" s="161"/>
      <c r="C233" s="161"/>
      <c r="D233" s="161"/>
    </row>
    <row r="234" spans="1:4">
      <c r="A234" s="155" t="s">
        <v>1320</v>
      </c>
      <c r="B234" s="155"/>
      <c r="C234" s="155"/>
      <c r="D234" s="155"/>
    </row>
    <row r="235" spans="1:4">
      <c r="A235" s="160" t="s">
        <v>1405</v>
      </c>
      <c r="B235" s="160"/>
      <c r="C235" s="160"/>
      <c r="D235" s="160"/>
    </row>
    <row r="236" spans="1:4">
      <c r="A236" s="160" t="s">
        <v>1406</v>
      </c>
      <c r="B236" s="160"/>
      <c r="C236" s="160"/>
      <c r="D236" s="160"/>
    </row>
    <row r="237" spans="1:4">
      <c r="A237" s="160" t="s">
        <v>1407</v>
      </c>
      <c r="B237" s="160"/>
      <c r="C237" s="160"/>
      <c r="D237" s="160"/>
    </row>
    <row r="238" spans="1:4">
      <c r="A238" s="155" t="s">
        <v>1343</v>
      </c>
      <c r="B238" s="155"/>
      <c r="C238" s="155"/>
      <c r="D238" s="155"/>
    </row>
    <row r="239" spans="1:4">
      <c r="A239" s="160" t="s">
        <v>1408</v>
      </c>
      <c r="B239" s="160"/>
      <c r="C239" s="160"/>
      <c r="D239" s="160"/>
    </row>
    <row r="240" spans="1:4">
      <c r="A240" s="160" t="s">
        <v>1409</v>
      </c>
      <c r="B240" s="160"/>
      <c r="C240" s="160"/>
      <c r="D240" s="160"/>
    </row>
    <row r="241" spans="1:4">
      <c r="A241" s="160" t="s">
        <v>1410</v>
      </c>
      <c r="B241" s="160"/>
      <c r="C241" s="160"/>
      <c r="D241" s="160"/>
    </row>
    <row r="242" spans="1:4">
      <c r="A242" s="160" t="s">
        <v>1411</v>
      </c>
      <c r="B242" s="160"/>
      <c r="C242" s="160"/>
      <c r="D242" s="160"/>
    </row>
    <row r="243" spans="1:4">
      <c r="A243" s="160" t="s">
        <v>1412</v>
      </c>
      <c r="B243" s="160"/>
      <c r="C243" s="160"/>
      <c r="D243" s="160"/>
    </row>
    <row r="244" spans="1:4">
      <c r="A244" s="160" t="s">
        <v>1413</v>
      </c>
      <c r="B244" s="160"/>
      <c r="C244" s="160"/>
      <c r="D244" s="160"/>
    </row>
    <row r="245" spans="1:4">
      <c r="A245" s="155" t="s">
        <v>1335</v>
      </c>
      <c r="B245" s="155"/>
      <c r="C245" s="155"/>
      <c r="D245" s="155"/>
    </row>
    <row r="246" spans="1:4">
      <c r="A246" s="160" t="s">
        <v>1414</v>
      </c>
      <c r="B246" s="160"/>
      <c r="C246" s="160"/>
      <c r="D246" s="160"/>
    </row>
    <row r="247" spans="1:4" ht="31.5">
      <c r="A247" s="161" t="s">
        <v>1415</v>
      </c>
      <c r="B247" s="161"/>
      <c r="C247" s="161"/>
      <c r="D247" s="161"/>
    </row>
    <row r="248" spans="1:4">
      <c r="A248" s="155" t="s">
        <v>1320</v>
      </c>
      <c r="B248" s="155"/>
      <c r="C248" s="155"/>
      <c r="D248" s="155"/>
    </row>
    <row r="249" spans="1:4">
      <c r="A249" s="160" t="s">
        <v>1416</v>
      </c>
      <c r="B249" s="160"/>
      <c r="C249" s="160"/>
      <c r="D249" s="160"/>
    </row>
    <row r="250" spans="1:4">
      <c r="A250" s="160" t="s">
        <v>1417</v>
      </c>
      <c r="B250" s="160"/>
      <c r="C250" s="160"/>
      <c r="D250" s="160"/>
    </row>
    <row r="251" spans="1:4">
      <c r="A251" s="155" t="s">
        <v>1343</v>
      </c>
      <c r="B251" s="155"/>
      <c r="C251" s="155"/>
      <c r="D251" s="155"/>
    </row>
    <row r="252" spans="1:4">
      <c r="A252" s="160" t="s">
        <v>1418</v>
      </c>
      <c r="B252" s="160"/>
      <c r="C252" s="160"/>
      <c r="D252" s="160"/>
    </row>
    <row r="253" spans="1:4">
      <c r="A253" s="160" t="s">
        <v>1419</v>
      </c>
      <c r="B253" s="160"/>
      <c r="C253" s="160"/>
      <c r="D253" s="160"/>
    </row>
    <row r="254" spans="1:4">
      <c r="A254" s="160" t="s">
        <v>1420</v>
      </c>
      <c r="B254" s="160"/>
      <c r="C254" s="160"/>
      <c r="D254" s="160"/>
    </row>
    <row r="255" spans="1:4">
      <c r="A255" s="160" t="s">
        <v>1381</v>
      </c>
      <c r="B255" s="160"/>
      <c r="C255" s="160"/>
      <c r="D255" s="160"/>
    </row>
    <row r="256" spans="1:4">
      <c r="A256" s="155" t="s">
        <v>1335</v>
      </c>
      <c r="B256" s="155"/>
      <c r="C256" s="155"/>
      <c r="D256" s="155"/>
    </row>
    <row r="257" spans="1:4">
      <c r="A257" s="160" t="s">
        <v>1421</v>
      </c>
      <c r="B257" s="160"/>
      <c r="C257" s="160"/>
      <c r="D257" s="160"/>
    </row>
    <row r="258" spans="1:4">
      <c r="A258" s="160" t="s">
        <v>1401</v>
      </c>
      <c r="B258" s="160"/>
      <c r="C258" s="160"/>
      <c r="D258" s="160"/>
    </row>
    <row r="259" spans="1:4">
      <c r="A259" s="160" t="s">
        <v>1422</v>
      </c>
      <c r="B259" s="160"/>
      <c r="C259" s="160"/>
      <c r="D259" s="160"/>
    </row>
  </sheetData>
  <mergeCells count="172">
    <mergeCell ref="A127:D127"/>
    <mergeCell ref="A128:D128"/>
    <mergeCell ref="A122:D122"/>
    <mergeCell ref="A123:D123"/>
    <mergeCell ref="A124:D124"/>
    <mergeCell ref="A125:D125"/>
    <mergeCell ref="A126:D126"/>
    <mergeCell ref="B17:B45"/>
    <mergeCell ref="B46:B50"/>
    <mergeCell ref="B51:B56"/>
    <mergeCell ref="C51:C56"/>
    <mergeCell ref="C46:C50"/>
    <mergeCell ref="B57:B61"/>
    <mergeCell ref="C58:C61"/>
    <mergeCell ref="B62:B69"/>
    <mergeCell ref="C62:C69"/>
    <mergeCell ref="A2:A119"/>
    <mergeCell ref="A134:D134"/>
    <mergeCell ref="A135:D135"/>
    <mergeCell ref="A136:D136"/>
    <mergeCell ref="A137:D137"/>
    <mergeCell ref="A138:D138"/>
    <mergeCell ref="A129:D129"/>
    <mergeCell ref="A130:D130"/>
    <mergeCell ref="A131:D131"/>
    <mergeCell ref="A132:D132"/>
    <mergeCell ref="A133:D133"/>
    <mergeCell ref="A144:D144"/>
    <mergeCell ref="A145:D145"/>
    <mergeCell ref="A146:D146"/>
    <mergeCell ref="A147:D147"/>
    <mergeCell ref="A148:D148"/>
    <mergeCell ref="A139:D139"/>
    <mergeCell ref="A140:D140"/>
    <mergeCell ref="A141:D141"/>
    <mergeCell ref="A142:D142"/>
    <mergeCell ref="A143:D143"/>
    <mergeCell ref="A154:D154"/>
    <mergeCell ref="A155:D155"/>
    <mergeCell ref="A156:D156"/>
    <mergeCell ref="A157:D157"/>
    <mergeCell ref="A158:D158"/>
    <mergeCell ref="A149:D149"/>
    <mergeCell ref="A150:D150"/>
    <mergeCell ref="A151:D151"/>
    <mergeCell ref="A152:D152"/>
    <mergeCell ref="A153:D153"/>
    <mergeCell ref="A167:D167"/>
    <mergeCell ref="A168:D168"/>
    <mergeCell ref="A169:D169"/>
    <mergeCell ref="A170:D170"/>
    <mergeCell ref="A171:D171"/>
    <mergeCell ref="A164:D164"/>
    <mergeCell ref="A165:D165"/>
    <mergeCell ref="A166:D166"/>
    <mergeCell ref="A159:D159"/>
    <mergeCell ref="A160:D160"/>
    <mergeCell ref="A161:D161"/>
    <mergeCell ref="A162:D162"/>
    <mergeCell ref="A163:D163"/>
    <mergeCell ref="A177:D177"/>
    <mergeCell ref="A178:D178"/>
    <mergeCell ref="A179:D179"/>
    <mergeCell ref="A180:D180"/>
    <mergeCell ref="A181:D181"/>
    <mergeCell ref="A172:D172"/>
    <mergeCell ref="A173:D173"/>
    <mergeCell ref="A174:D174"/>
    <mergeCell ref="A175:D175"/>
    <mergeCell ref="A176:D176"/>
    <mergeCell ref="A187:D187"/>
    <mergeCell ref="A188:D188"/>
    <mergeCell ref="A189:D189"/>
    <mergeCell ref="A190:D190"/>
    <mergeCell ref="A191:D191"/>
    <mergeCell ref="A182:D182"/>
    <mergeCell ref="A183:D183"/>
    <mergeCell ref="A184:D184"/>
    <mergeCell ref="A185:D185"/>
    <mergeCell ref="A186:D186"/>
    <mergeCell ref="A197:D197"/>
    <mergeCell ref="A198:D198"/>
    <mergeCell ref="A199:D199"/>
    <mergeCell ref="A200:D200"/>
    <mergeCell ref="A201:D201"/>
    <mergeCell ref="A192:D192"/>
    <mergeCell ref="A193:D193"/>
    <mergeCell ref="A194:D194"/>
    <mergeCell ref="A195:D195"/>
    <mergeCell ref="A196:D196"/>
    <mergeCell ref="A207:D207"/>
    <mergeCell ref="A208:D208"/>
    <mergeCell ref="A209:D209"/>
    <mergeCell ref="A210:D210"/>
    <mergeCell ref="A211:D211"/>
    <mergeCell ref="A202:D202"/>
    <mergeCell ref="A203:D203"/>
    <mergeCell ref="A204:D204"/>
    <mergeCell ref="A205:D205"/>
    <mergeCell ref="A206:D206"/>
    <mergeCell ref="A217:D217"/>
    <mergeCell ref="A218:D218"/>
    <mergeCell ref="A219:D219"/>
    <mergeCell ref="A220:D220"/>
    <mergeCell ref="A221:D221"/>
    <mergeCell ref="A212:D212"/>
    <mergeCell ref="A213:D213"/>
    <mergeCell ref="A214:D214"/>
    <mergeCell ref="A215:D215"/>
    <mergeCell ref="A216:D216"/>
    <mergeCell ref="A227:D227"/>
    <mergeCell ref="A228:D228"/>
    <mergeCell ref="A229:D229"/>
    <mergeCell ref="A230:D230"/>
    <mergeCell ref="A231:D231"/>
    <mergeCell ref="A222:D222"/>
    <mergeCell ref="A223:D223"/>
    <mergeCell ref="A224:D224"/>
    <mergeCell ref="A225:D225"/>
    <mergeCell ref="A226:D226"/>
    <mergeCell ref="A237:D237"/>
    <mergeCell ref="A238:D238"/>
    <mergeCell ref="A239:D239"/>
    <mergeCell ref="A240:D240"/>
    <mergeCell ref="A241:D241"/>
    <mergeCell ref="A232:D232"/>
    <mergeCell ref="A233:D233"/>
    <mergeCell ref="A234:D234"/>
    <mergeCell ref="A235:D235"/>
    <mergeCell ref="A236:D236"/>
    <mergeCell ref="A248:D248"/>
    <mergeCell ref="A249:D249"/>
    <mergeCell ref="A250:D250"/>
    <mergeCell ref="A251:D251"/>
    <mergeCell ref="A242:D242"/>
    <mergeCell ref="A243:D243"/>
    <mergeCell ref="A244:D244"/>
    <mergeCell ref="A245:D245"/>
    <mergeCell ref="A246:D246"/>
    <mergeCell ref="C107:C108"/>
    <mergeCell ref="C109:C114"/>
    <mergeCell ref="B97:B119"/>
    <mergeCell ref="A257:D257"/>
    <mergeCell ref="A258:D258"/>
    <mergeCell ref="A259:D259"/>
    <mergeCell ref="B2:B13"/>
    <mergeCell ref="C2:C5"/>
    <mergeCell ref="C6:C11"/>
    <mergeCell ref="C12:C13"/>
    <mergeCell ref="B14:B16"/>
    <mergeCell ref="C14:C16"/>
    <mergeCell ref="C17:C26"/>
    <mergeCell ref="C27:C31"/>
    <mergeCell ref="C32:C35"/>
    <mergeCell ref="C36:C37"/>
    <mergeCell ref="C41:C42"/>
    <mergeCell ref="C43:C45"/>
    <mergeCell ref="A252:D252"/>
    <mergeCell ref="A253:D253"/>
    <mergeCell ref="A254:D254"/>
    <mergeCell ref="A255:D255"/>
    <mergeCell ref="A256:D256"/>
    <mergeCell ref="A247:D247"/>
    <mergeCell ref="B70:B72"/>
    <mergeCell ref="C70:C71"/>
    <mergeCell ref="B73:B96"/>
    <mergeCell ref="C73:C78"/>
    <mergeCell ref="C79:C84"/>
    <mergeCell ref="C85:C92"/>
    <mergeCell ref="C93:C94"/>
    <mergeCell ref="C97:C98"/>
    <mergeCell ref="C99:C106"/>
  </mergeCells>
  <conditionalFormatting sqref="G121:G1048576">
    <cfRule type="containsText" dxfId="2" priority="5" operator="containsText" text="No">
      <formula>NOT(ISERROR(SEARCH("No",G121)))</formula>
    </cfRule>
  </conditionalFormatting>
  <conditionalFormatting sqref="G121:G1048576">
    <cfRule type="containsText" dxfId="1" priority="4" operator="containsText" text="Yes">
      <formula>NOT(ISERROR(SEARCH("Yes",G121)))</formula>
    </cfRule>
  </conditionalFormatting>
  <conditionalFormatting sqref="G121:G1048576">
    <cfRule type="containsText" dxfId="0" priority="3" operator="containsText" text="Conditional">
      <formula>NOT(ISERROR(SEARCH("Conditional",G121)))</formula>
    </cfRule>
  </conditionalFormatting>
  <hyperlinks>
    <hyperlink ref="F76" r:id="rId1" xr:uid="{56753263-8B3F-4160-BC0E-FD6EDFFBF1A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E222C-208E-4B1B-AB6F-49DE14AC99A2}">
  <sheetPr>
    <tabColor rgb="FFFFC000"/>
  </sheetPr>
  <dimension ref="A1:J295"/>
  <sheetViews>
    <sheetView workbookViewId="0">
      <pane xSplit="4" ySplit="1" topLeftCell="E31" activePane="bottomRight" state="frozen"/>
      <selection pane="bottomRight" activeCell="J26" sqref="J26"/>
      <selection pane="bottomLeft"/>
      <selection pane="topRight"/>
    </sheetView>
  </sheetViews>
  <sheetFormatPr defaultRowHeight="15"/>
  <cols>
    <col min="1" max="1" width="10.42578125" bestFit="1" customWidth="1"/>
    <col min="2" max="2" width="31.28515625" style="119" customWidth="1"/>
    <col min="3" max="3" width="26.140625" customWidth="1"/>
    <col min="4" max="4" width="23" customWidth="1"/>
    <col min="5" max="5" width="24.85546875" bestFit="1" customWidth="1"/>
    <col min="6" max="6" width="25.140625" bestFit="1" customWidth="1"/>
    <col min="7" max="7" width="35" bestFit="1" customWidth="1"/>
    <col min="8" max="8" width="12.7109375" bestFit="1" customWidth="1"/>
    <col min="9" max="9" width="37.7109375" bestFit="1" customWidth="1"/>
    <col min="10" max="10" width="53.85546875" bestFit="1" customWidth="1"/>
  </cols>
  <sheetData>
    <row r="1" spans="1:10">
      <c r="A1" s="129" t="s">
        <v>576</v>
      </c>
      <c r="B1" s="130" t="s">
        <v>877</v>
      </c>
      <c r="C1" s="131" t="s">
        <v>1423</v>
      </c>
      <c r="D1" s="131" t="s">
        <v>878</v>
      </c>
      <c r="E1" s="131" t="s">
        <v>879</v>
      </c>
      <c r="F1" s="131" t="s">
        <v>880</v>
      </c>
      <c r="G1" s="131" t="s">
        <v>881</v>
      </c>
      <c r="H1" s="131" t="s">
        <v>882</v>
      </c>
      <c r="I1" s="131" t="s">
        <v>883</v>
      </c>
      <c r="J1" s="131" t="s">
        <v>884</v>
      </c>
    </row>
    <row r="2" spans="1:10">
      <c r="A2" s="128" t="s">
        <v>410</v>
      </c>
      <c r="B2" s="132" t="s">
        <v>259</v>
      </c>
      <c r="C2" s="132" t="s">
        <v>891</v>
      </c>
      <c r="D2" s="133" t="s">
        <v>891</v>
      </c>
      <c r="E2" s="133" t="s">
        <v>892</v>
      </c>
      <c r="F2" s="133" t="s">
        <v>893</v>
      </c>
      <c r="G2" s="133" t="s">
        <v>1424</v>
      </c>
      <c r="H2" s="133" t="s">
        <v>895</v>
      </c>
      <c r="I2" s="133" t="s">
        <v>874</v>
      </c>
      <c r="J2" s="133" t="s">
        <v>1425</v>
      </c>
    </row>
    <row r="3" spans="1:10">
      <c r="A3" s="128"/>
      <c r="B3" s="134"/>
      <c r="C3" s="134"/>
      <c r="D3" s="133" t="s">
        <v>891</v>
      </c>
      <c r="E3" s="133" t="s">
        <v>897</v>
      </c>
      <c r="F3" s="133" t="s">
        <v>898</v>
      </c>
      <c r="G3" s="133" t="s">
        <v>1426</v>
      </c>
      <c r="H3" s="133" t="s">
        <v>895</v>
      </c>
      <c r="I3" s="133" t="s">
        <v>874</v>
      </c>
      <c r="J3" s="133" t="s">
        <v>1427</v>
      </c>
    </row>
    <row r="4" spans="1:10">
      <c r="A4" s="128"/>
      <c r="B4" s="134"/>
      <c r="C4" s="134"/>
      <c r="D4" s="133" t="s">
        <v>891</v>
      </c>
      <c r="E4" s="133" t="s">
        <v>910</v>
      </c>
      <c r="F4" s="133" t="s">
        <v>902</v>
      </c>
      <c r="G4" s="133" t="s">
        <v>1428</v>
      </c>
      <c r="H4" s="133" t="s">
        <v>904</v>
      </c>
      <c r="I4" s="133" t="s">
        <v>874</v>
      </c>
      <c r="J4" s="133" t="s">
        <v>1429</v>
      </c>
    </row>
    <row r="5" spans="1:10">
      <c r="A5" s="128"/>
      <c r="B5" s="134"/>
      <c r="C5" s="135"/>
      <c r="D5" s="133" t="s">
        <v>891</v>
      </c>
      <c r="E5" s="133" t="s">
        <v>906</v>
      </c>
      <c r="F5" s="133" t="s">
        <v>907</v>
      </c>
      <c r="G5" s="133" t="s">
        <v>1430</v>
      </c>
      <c r="H5" s="133" t="s">
        <v>895</v>
      </c>
      <c r="I5" s="133" t="s">
        <v>874</v>
      </c>
      <c r="J5" s="133" t="s">
        <v>1431</v>
      </c>
    </row>
    <row r="6" spans="1:10">
      <c r="A6" s="128"/>
      <c r="B6" s="134"/>
      <c r="C6" s="132" t="s">
        <v>910</v>
      </c>
      <c r="D6" s="133" t="s">
        <v>910</v>
      </c>
      <c r="E6" s="133" t="s">
        <v>892</v>
      </c>
      <c r="F6" s="133" t="s">
        <v>911</v>
      </c>
      <c r="G6" s="133" t="s">
        <v>1424</v>
      </c>
      <c r="H6" s="133" t="s">
        <v>895</v>
      </c>
      <c r="I6" s="133" t="s">
        <v>874</v>
      </c>
      <c r="J6" s="133" t="s">
        <v>1432</v>
      </c>
    </row>
    <row r="7" spans="1:10">
      <c r="A7" s="128"/>
      <c r="B7" s="134"/>
      <c r="C7" s="134"/>
      <c r="D7" s="133" t="s">
        <v>910</v>
      </c>
      <c r="E7" s="133" t="s">
        <v>913</v>
      </c>
      <c r="F7" s="133" t="s">
        <v>907</v>
      </c>
      <c r="G7" s="133" t="s">
        <v>1433</v>
      </c>
      <c r="H7" s="133" t="s">
        <v>895</v>
      </c>
      <c r="I7" s="133" t="s">
        <v>874</v>
      </c>
      <c r="J7" s="133" t="s">
        <v>1434</v>
      </c>
    </row>
    <row r="8" spans="1:10">
      <c r="A8" s="128"/>
      <c r="B8" s="134"/>
      <c r="C8" s="134"/>
      <c r="D8" s="133" t="s">
        <v>910</v>
      </c>
      <c r="E8" s="133" t="s">
        <v>916</v>
      </c>
      <c r="F8" s="133" t="s">
        <v>932</v>
      </c>
      <c r="G8" s="133" t="s">
        <v>1435</v>
      </c>
      <c r="H8" s="133" t="s">
        <v>895</v>
      </c>
      <c r="I8" s="133" t="s">
        <v>874</v>
      </c>
      <c r="J8" s="133" t="s">
        <v>1436</v>
      </c>
    </row>
    <row r="9" spans="1:10">
      <c r="A9" s="128"/>
      <c r="B9" s="134"/>
      <c r="C9" s="134"/>
      <c r="D9" s="133" t="s">
        <v>910</v>
      </c>
      <c r="E9" s="133" t="s">
        <v>920</v>
      </c>
      <c r="F9" s="133" t="s">
        <v>921</v>
      </c>
      <c r="G9" s="133" t="s">
        <v>1437</v>
      </c>
      <c r="H9" s="133" t="s">
        <v>895</v>
      </c>
      <c r="I9" s="133" t="s">
        <v>874</v>
      </c>
      <c r="J9" s="133" t="s">
        <v>1438</v>
      </c>
    </row>
    <row r="10" spans="1:10">
      <c r="A10" s="128"/>
      <c r="B10" s="134"/>
      <c r="C10" s="134"/>
      <c r="D10" s="133" t="s">
        <v>910</v>
      </c>
      <c r="E10" s="133" t="s">
        <v>924</v>
      </c>
      <c r="F10" s="133" t="s">
        <v>921</v>
      </c>
      <c r="G10" s="133" t="s">
        <v>1439</v>
      </c>
      <c r="H10" s="133" t="s">
        <v>895</v>
      </c>
      <c r="I10" s="133" t="s">
        <v>874</v>
      </c>
      <c r="J10" s="133" t="s">
        <v>1440</v>
      </c>
    </row>
    <row r="11" spans="1:10">
      <c r="A11" s="128"/>
      <c r="B11" s="134"/>
      <c r="C11" s="135"/>
      <c r="D11" s="133" t="s">
        <v>910</v>
      </c>
      <c r="E11" s="133" t="s">
        <v>927</v>
      </c>
      <c r="F11" s="133" t="s">
        <v>907</v>
      </c>
      <c r="G11" s="133" t="s">
        <v>1441</v>
      </c>
      <c r="H11" s="133" t="s">
        <v>895</v>
      </c>
      <c r="I11" s="133" t="s">
        <v>874</v>
      </c>
      <c r="J11" s="133" t="s">
        <v>1442</v>
      </c>
    </row>
    <row r="12" spans="1:10">
      <c r="A12" s="128"/>
      <c r="B12" s="134"/>
      <c r="C12" s="132" t="s">
        <v>1443</v>
      </c>
      <c r="D12" s="133" t="s">
        <v>1443</v>
      </c>
      <c r="E12" s="133" t="s">
        <v>931</v>
      </c>
      <c r="F12" s="133" t="s">
        <v>932</v>
      </c>
      <c r="G12" s="133" t="s">
        <v>1444</v>
      </c>
      <c r="H12" s="133" t="s">
        <v>895</v>
      </c>
      <c r="I12" s="133" t="s">
        <v>874</v>
      </c>
      <c r="J12" s="133" t="s">
        <v>1445</v>
      </c>
    </row>
    <row r="13" spans="1:10">
      <c r="A13" s="128"/>
      <c r="B13" s="135"/>
      <c r="C13" s="135"/>
      <c r="D13" s="133" t="s">
        <v>1443</v>
      </c>
      <c r="E13" s="133" t="s">
        <v>935</v>
      </c>
      <c r="F13" s="133" t="s">
        <v>907</v>
      </c>
      <c r="G13" s="133" t="s">
        <v>1446</v>
      </c>
      <c r="H13" s="133" t="s">
        <v>904</v>
      </c>
      <c r="I13" s="133" t="s">
        <v>874</v>
      </c>
      <c r="J13" s="133" t="s">
        <v>1447</v>
      </c>
    </row>
    <row r="14" spans="1:10">
      <c r="A14" s="128"/>
      <c r="B14" s="132" t="s">
        <v>1448</v>
      </c>
      <c r="C14" s="132" t="s">
        <v>939</v>
      </c>
      <c r="D14" s="133" t="s">
        <v>939</v>
      </c>
      <c r="E14" s="133" t="s">
        <v>1449</v>
      </c>
      <c r="F14" s="133" t="s">
        <v>941</v>
      </c>
      <c r="G14" s="133" t="s">
        <v>1450</v>
      </c>
      <c r="H14" s="133" t="s">
        <v>943</v>
      </c>
      <c r="I14" s="133" t="s">
        <v>1451</v>
      </c>
      <c r="J14" s="133" t="s">
        <v>1452</v>
      </c>
    </row>
    <row r="15" spans="1:10">
      <c r="A15" s="128"/>
      <c r="B15" s="134"/>
      <c r="C15" s="134"/>
      <c r="D15" s="133" t="s">
        <v>939</v>
      </c>
      <c r="E15" s="133" t="s">
        <v>1167</v>
      </c>
      <c r="F15" s="133" t="s">
        <v>947</v>
      </c>
      <c r="G15" s="133" t="s">
        <v>1453</v>
      </c>
      <c r="H15" s="133" t="s">
        <v>895</v>
      </c>
      <c r="I15" s="133" t="s">
        <v>874</v>
      </c>
      <c r="J15" s="133" t="s">
        <v>1454</v>
      </c>
    </row>
    <row r="16" spans="1:10">
      <c r="A16" s="128"/>
      <c r="B16" s="135"/>
      <c r="C16" s="135"/>
      <c r="D16" s="133" t="s">
        <v>939</v>
      </c>
      <c r="E16" s="133" t="s">
        <v>950</v>
      </c>
      <c r="F16" s="133" t="s">
        <v>951</v>
      </c>
      <c r="G16" s="133" t="s">
        <v>1455</v>
      </c>
      <c r="H16" s="133" t="s">
        <v>895</v>
      </c>
      <c r="I16" s="133" t="s">
        <v>874</v>
      </c>
      <c r="J16" s="133" t="s">
        <v>1456</v>
      </c>
    </row>
    <row r="17" spans="1:10">
      <c r="A17" s="128"/>
      <c r="B17" s="132" t="s">
        <v>580</v>
      </c>
      <c r="C17" s="132" t="s">
        <v>1457</v>
      </c>
      <c r="D17" s="133" t="s">
        <v>1458</v>
      </c>
      <c r="E17" s="133" t="s">
        <v>1459</v>
      </c>
      <c r="F17" s="133" t="s">
        <v>957</v>
      </c>
      <c r="G17" s="133" t="s">
        <v>1460</v>
      </c>
      <c r="H17" s="133" t="s">
        <v>895</v>
      </c>
      <c r="I17" s="133" t="s">
        <v>874</v>
      </c>
      <c r="J17" s="133" t="s">
        <v>1461</v>
      </c>
    </row>
    <row r="18" spans="1:10">
      <c r="A18" s="128"/>
      <c r="B18" s="134"/>
      <c r="C18" s="134"/>
      <c r="D18" s="133" t="s">
        <v>1458</v>
      </c>
      <c r="E18" s="133" t="s">
        <v>960</v>
      </c>
      <c r="F18" s="133" t="s">
        <v>951</v>
      </c>
      <c r="G18" s="133" t="s">
        <v>1462</v>
      </c>
      <c r="H18" s="133" t="s">
        <v>895</v>
      </c>
      <c r="I18" s="133" t="s">
        <v>874</v>
      </c>
      <c r="J18" s="133" t="s">
        <v>1463</v>
      </c>
    </row>
    <row r="19" spans="1:10">
      <c r="A19" s="128"/>
      <c r="B19" s="134"/>
      <c r="C19" s="134"/>
      <c r="D19" s="133" t="s">
        <v>1458</v>
      </c>
      <c r="E19" s="133" t="s">
        <v>962</v>
      </c>
      <c r="F19" s="133" t="s">
        <v>951</v>
      </c>
      <c r="G19" s="133" t="s">
        <v>1464</v>
      </c>
      <c r="H19" s="133" t="s">
        <v>895</v>
      </c>
      <c r="I19" s="133" t="s">
        <v>874</v>
      </c>
      <c r="J19" s="133" t="s">
        <v>1463</v>
      </c>
    </row>
    <row r="20" spans="1:10">
      <c r="A20" s="128"/>
      <c r="B20" s="134"/>
      <c r="C20" s="134"/>
      <c r="D20" s="133" t="s">
        <v>1458</v>
      </c>
      <c r="E20" s="133" t="s">
        <v>1465</v>
      </c>
      <c r="F20" s="133" t="s">
        <v>951</v>
      </c>
      <c r="G20" s="133" t="s">
        <v>1466</v>
      </c>
      <c r="H20" s="133" t="s">
        <v>895</v>
      </c>
      <c r="I20" s="133" t="s">
        <v>874</v>
      </c>
      <c r="J20" s="133" t="s">
        <v>1467</v>
      </c>
    </row>
    <row r="21" spans="1:10">
      <c r="A21" s="128"/>
      <c r="B21" s="134"/>
      <c r="C21" s="134"/>
      <c r="D21" s="133" t="s">
        <v>1458</v>
      </c>
      <c r="E21" s="133" t="s">
        <v>1468</v>
      </c>
      <c r="F21" s="133" t="s">
        <v>947</v>
      </c>
      <c r="G21" s="133" t="s">
        <v>1469</v>
      </c>
      <c r="H21" s="133" t="s">
        <v>895</v>
      </c>
      <c r="I21" s="133" t="s">
        <v>874</v>
      </c>
      <c r="J21" s="133" t="s">
        <v>1470</v>
      </c>
    </row>
    <row r="22" spans="1:10">
      <c r="A22" s="128"/>
      <c r="B22" s="134"/>
      <c r="C22" s="135"/>
      <c r="D22" s="133" t="s">
        <v>1458</v>
      </c>
      <c r="E22" s="133" t="s">
        <v>985</v>
      </c>
      <c r="F22" s="133" t="s">
        <v>1471</v>
      </c>
      <c r="G22" s="133" t="s">
        <v>958</v>
      </c>
      <c r="H22" s="133" t="s">
        <v>895</v>
      </c>
      <c r="I22" s="133" t="s">
        <v>874</v>
      </c>
      <c r="J22" s="133" t="s">
        <v>1472</v>
      </c>
    </row>
    <row r="23" spans="1:10">
      <c r="A23" s="128"/>
      <c r="B23" s="135"/>
      <c r="C23" s="136" t="s">
        <v>1473</v>
      </c>
      <c r="D23" s="133" t="s">
        <v>1474</v>
      </c>
      <c r="E23" s="133" t="s">
        <v>1475</v>
      </c>
      <c r="F23" s="133" t="s">
        <v>1476</v>
      </c>
      <c r="G23" s="133" t="s">
        <v>1477</v>
      </c>
      <c r="H23" s="133" t="s">
        <v>904</v>
      </c>
      <c r="I23" s="133" t="s">
        <v>410</v>
      </c>
      <c r="J23" s="133" t="s">
        <v>1478</v>
      </c>
    </row>
    <row r="24" spans="1:10">
      <c r="A24" s="128"/>
      <c r="B24" s="132" t="s">
        <v>1479</v>
      </c>
      <c r="C24" s="136" t="s">
        <v>1480</v>
      </c>
      <c r="D24" s="133" t="s">
        <v>1480</v>
      </c>
      <c r="E24" s="133" t="s">
        <v>1481</v>
      </c>
      <c r="F24" s="133" t="s">
        <v>1482</v>
      </c>
      <c r="G24" s="133" t="s">
        <v>1483</v>
      </c>
      <c r="H24" s="133" t="s">
        <v>895</v>
      </c>
      <c r="I24" s="133" t="s">
        <v>874</v>
      </c>
      <c r="J24" s="133" t="s">
        <v>1484</v>
      </c>
    </row>
    <row r="25" spans="1:10">
      <c r="A25" s="128"/>
      <c r="B25" s="134"/>
      <c r="C25" s="136" t="s">
        <v>1485</v>
      </c>
      <c r="D25" s="133" t="s">
        <v>1486</v>
      </c>
      <c r="E25" s="133" t="s">
        <v>1487</v>
      </c>
      <c r="F25" s="133" t="s">
        <v>1488</v>
      </c>
      <c r="G25" s="133" t="s">
        <v>1489</v>
      </c>
      <c r="H25" s="133" t="s">
        <v>895</v>
      </c>
      <c r="I25" s="133" t="s">
        <v>874</v>
      </c>
      <c r="J25" s="133" t="s">
        <v>1490</v>
      </c>
    </row>
    <row r="26" spans="1:10">
      <c r="A26" s="128"/>
      <c r="B26" s="134"/>
      <c r="C26" s="132" t="s">
        <v>1491</v>
      </c>
      <c r="D26" s="133" t="s">
        <v>1491</v>
      </c>
      <c r="E26" s="133" t="s">
        <v>1492</v>
      </c>
      <c r="F26" s="133" t="s">
        <v>941</v>
      </c>
      <c r="G26" s="133" t="s">
        <v>1493</v>
      </c>
      <c r="H26" s="133" t="s">
        <v>895</v>
      </c>
      <c r="I26" s="133" t="s">
        <v>410</v>
      </c>
      <c r="J26" s="133" t="s">
        <v>1494</v>
      </c>
    </row>
    <row r="27" spans="1:10">
      <c r="A27" s="128"/>
      <c r="B27" s="134"/>
      <c r="C27" s="134"/>
      <c r="D27" s="133" t="s">
        <v>1491</v>
      </c>
      <c r="E27" s="133" t="s">
        <v>1495</v>
      </c>
      <c r="F27" s="133" t="s">
        <v>1023</v>
      </c>
      <c r="G27" s="133" t="s">
        <v>1496</v>
      </c>
      <c r="H27" s="133" t="s">
        <v>977</v>
      </c>
      <c r="I27" s="133" t="s">
        <v>410</v>
      </c>
      <c r="J27" s="133" t="s">
        <v>1497</v>
      </c>
    </row>
    <row r="28" spans="1:10">
      <c r="A28" s="128"/>
      <c r="B28" s="134"/>
      <c r="C28" s="135"/>
      <c r="D28" s="133" t="s">
        <v>1491</v>
      </c>
      <c r="E28" s="133" t="s">
        <v>1498</v>
      </c>
      <c r="F28" s="133" t="s">
        <v>907</v>
      </c>
      <c r="G28" s="133" t="s">
        <v>1499</v>
      </c>
      <c r="H28" s="133" t="s">
        <v>895</v>
      </c>
      <c r="I28" s="133" t="s">
        <v>410</v>
      </c>
      <c r="J28" s="133" t="s">
        <v>1500</v>
      </c>
    </row>
    <row r="29" spans="1:10">
      <c r="A29" s="128"/>
      <c r="B29" s="134"/>
      <c r="C29" s="132" t="s">
        <v>1501</v>
      </c>
      <c r="D29" s="133" t="s">
        <v>1502</v>
      </c>
      <c r="E29" s="133" t="s">
        <v>1503</v>
      </c>
      <c r="F29" s="133" t="s">
        <v>941</v>
      </c>
      <c r="G29" s="133" t="s">
        <v>1493</v>
      </c>
      <c r="H29" s="133" t="s">
        <v>895</v>
      </c>
      <c r="I29" s="133" t="s">
        <v>1504</v>
      </c>
      <c r="J29" s="133" t="s">
        <v>1505</v>
      </c>
    </row>
    <row r="30" spans="1:10">
      <c r="A30" s="128"/>
      <c r="B30" s="134"/>
      <c r="C30" s="135"/>
      <c r="D30" s="133" t="s">
        <v>1502</v>
      </c>
      <c r="E30" s="133" t="s">
        <v>1495</v>
      </c>
      <c r="F30" s="133" t="s">
        <v>1023</v>
      </c>
      <c r="G30" s="133" t="s">
        <v>1506</v>
      </c>
      <c r="H30" s="133" t="s">
        <v>977</v>
      </c>
      <c r="I30" s="133" t="s">
        <v>1504</v>
      </c>
      <c r="J30" s="133" t="s">
        <v>1507</v>
      </c>
    </row>
    <row r="31" spans="1:10">
      <c r="A31" s="128"/>
      <c r="B31" s="134"/>
      <c r="C31" s="132" t="s">
        <v>1508</v>
      </c>
      <c r="D31" s="133" t="s">
        <v>1509</v>
      </c>
      <c r="E31" s="133" t="s">
        <v>1510</v>
      </c>
      <c r="F31" s="133" t="s">
        <v>1511</v>
      </c>
      <c r="G31" s="133" t="s">
        <v>958</v>
      </c>
      <c r="H31" s="133" t="s">
        <v>895</v>
      </c>
      <c r="I31" s="133" t="s">
        <v>1504</v>
      </c>
      <c r="J31" s="133" t="s">
        <v>1512</v>
      </c>
    </row>
    <row r="32" spans="1:10">
      <c r="A32" s="128"/>
      <c r="B32" s="135"/>
      <c r="C32" s="135"/>
      <c r="D32" s="133" t="s">
        <v>1509</v>
      </c>
      <c r="E32" s="133" t="s">
        <v>1492</v>
      </c>
      <c r="F32" s="133" t="s">
        <v>941</v>
      </c>
      <c r="G32" s="133" t="s">
        <v>1493</v>
      </c>
      <c r="H32" s="133" t="s">
        <v>895</v>
      </c>
      <c r="I32" s="133" t="s">
        <v>1504</v>
      </c>
      <c r="J32" s="133" t="s">
        <v>1513</v>
      </c>
    </row>
    <row r="33" spans="1:10">
      <c r="A33" s="128"/>
      <c r="B33" s="132" t="s">
        <v>1514</v>
      </c>
      <c r="C33" s="136" t="s">
        <v>1515</v>
      </c>
      <c r="D33" s="133" t="s">
        <v>1516</v>
      </c>
      <c r="E33" s="133" t="s">
        <v>1517</v>
      </c>
      <c r="F33" s="133" t="s">
        <v>1086</v>
      </c>
      <c r="G33" s="133" t="s">
        <v>958</v>
      </c>
      <c r="H33" s="133" t="s">
        <v>895</v>
      </c>
      <c r="I33" s="133" t="s">
        <v>874</v>
      </c>
      <c r="J33" s="133" t="s">
        <v>1518</v>
      </c>
    </row>
    <row r="34" spans="1:10">
      <c r="A34" s="128"/>
      <c r="B34" s="134"/>
      <c r="C34" s="132" t="s">
        <v>1519</v>
      </c>
      <c r="D34" s="133" t="s">
        <v>1520</v>
      </c>
      <c r="E34" s="133" t="s">
        <v>1521</v>
      </c>
      <c r="F34" s="133" t="s">
        <v>951</v>
      </c>
      <c r="G34" s="133" t="s">
        <v>1522</v>
      </c>
      <c r="H34" s="133" t="s">
        <v>895</v>
      </c>
      <c r="I34" s="133" t="s">
        <v>874</v>
      </c>
      <c r="J34" s="133" t="s">
        <v>1523</v>
      </c>
    </row>
    <row r="35" spans="1:10">
      <c r="A35" s="128"/>
      <c r="B35" s="134"/>
      <c r="C35" s="134"/>
      <c r="D35" s="133" t="s">
        <v>1520</v>
      </c>
      <c r="E35" s="133" t="s">
        <v>1006</v>
      </c>
      <c r="F35" s="133" t="s">
        <v>1007</v>
      </c>
      <c r="G35" s="133" t="s">
        <v>1524</v>
      </c>
      <c r="H35" s="133" t="s">
        <v>977</v>
      </c>
      <c r="I35" s="133" t="s">
        <v>1504</v>
      </c>
      <c r="J35" s="133" t="s">
        <v>1525</v>
      </c>
    </row>
    <row r="36" spans="1:10">
      <c r="A36" s="128"/>
      <c r="B36" s="134"/>
      <c r="C36" s="134"/>
      <c r="D36" s="133" t="s">
        <v>1520</v>
      </c>
      <c r="E36" s="133" t="s">
        <v>1010</v>
      </c>
      <c r="F36" s="133" t="s">
        <v>1124</v>
      </c>
      <c r="G36" s="133" t="s">
        <v>1526</v>
      </c>
      <c r="H36" s="133" t="s">
        <v>977</v>
      </c>
      <c r="I36" s="133" t="s">
        <v>1504</v>
      </c>
      <c r="J36" s="133" t="s">
        <v>1527</v>
      </c>
    </row>
    <row r="37" spans="1:10">
      <c r="A37" s="128"/>
      <c r="B37" s="134"/>
      <c r="C37" s="134"/>
      <c r="D37" s="133" t="s">
        <v>1380</v>
      </c>
      <c r="E37" s="133" t="s">
        <v>1380</v>
      </c>
      <c r="F37" s="133" t="s">
        <v>1023</v>
      </c>
      <c r="G37" s="133" t="s">
        <v>1528</v>
      </c>
      <c r="H37" s="133" t="s">
        <v>904</v>
      </c>
      <c r="I37" s="133" t="s">
        <v>1504</v>
      </c>
      <c r="J37" s="133" t="s">
        <v>1529</v>
      </c>
    </row>
    <row r="38" spans="1:10">
      <c r="A38" s="128"/>
      <c r="B38" s="134"/>
      <c r="C38" s="134"/>
      <c r="D38" s="133" t="s">
        <v>1530</v>
      </c>
      <c r="E38" s="133" t="s">
        <v>1531</v>
      </c>
      <c r="F38" s="133" t="s">
        <v>1532</v>
      </c>
      <c r="G38" s="133" t="s">
        <v>977</v>
      </c>
      <c r="H38" s="133" t="s">
        <v>1504</v>
      </c>
      <c r="I38" s="133" t="s">
        <v>1533</v>
      </c>
      <c r="J38" s="133"/>
    </row>
    <row r="39" spans="1:10">
      <c r="A39" s="128"/>
      <c r="B39" s="135"/>
      <c r="C39" s="135"/>
      <c r="D39" s="133" t="s">
        <v>1126</v>
      </c>
      <c r="E39" s="133" t="s">
        <v>1254</v>
      </c>
      <c r="F39" s="133" t="s">
        <v>1534</v>
      </c>
      <c r="G39" s="133" t="s">
        <v>895</v>
      </c>
      <c r="H39" s="133" t="s">
        <v>1504</v>
      </c>
      <c r="I39" s="133" t="s">
        <v>1535</v>
      </c>
      <c r="J39" s="133"/>
    </row>
    <row r="40" spans="1:10">
      <c r="A40" s="128"/>
      <c r="B40" s="132" t="s">
        <v>1536</v>
      </c>
      <c r="C40" s="136" t="s">
        <v>1537</v>
      </c>
      <c r="D40" s="133" t="s">
        <v>1084</v>
      </c>
      <c r="E40" s="133" t="s">
        <v>1538</v>
      </c>
      <c r="F40" s="133" t="s">
        <v>1086</v>
      </c>
      <c r="G40" s="133" t="s">
        <v>1539</v>
      </c>
      <c r="H40" s="133" t="s">
        <v>895</v>
      </c>
      <c r="I40" s="133" t="s">
        <v>874</v>
      </c>
      <c r="J40" s="133" t="s">
        <v>1513</v>
      </c>
    </row>
    <row r="41" spans="1:10">
      <c r="A41" s="128"/>
      <c r="B41" s="134"/>
      <c r="C41" s="132" t="s">
        <v>1540</v>
      </c>
      <c r="D41" s="133" t="s">
        <v>1541</v>
      </c>
      <c r="E41" s="133" t="s">
        <v>1090</v>
      </c>
      <c r="F41" s="133" t="s">
        <v>951</v>
      </c>
      <c r="G41" s="133" t="s">
        <v>1542</v>
      </c>
      <c r="H41" s="133" t="s">
        <v>895</v>
      </c>
      <c r="I41" s="133" t="s">
        <v>874</v>
      </c>
      <c r="J41" s="133" t="s">
        <v>1456</v>
      </c>
    </row>
    <row r="42" spans="1:10">
      <c r="A42" s="128"/>
      <c r="B42" s="134"/>
      <c r="C42" s="134"/>
      <c r="D42" s="133" t="s">
        <v>1543</v>
      </c>
      <c r="E42" s="133" t="s">
        <v>1544</v>
      </c>
      <c r="F42" s="133" t="s">
        <v>941</v>
      </c>
      <c r="G42" s="133" t="s">
        <v>1545</v>
      </c>
      <c r="H42" s="133" t="s">
        <v>977</v>
      </c>
      <c r="I42" s="133" t="s">
        <v>1504</v>
      </c>
      <c r="J42" s="133" t="s">
        <v>1546</v>
      </c>
    </row>
    <row r="43" spans="1:10">
      <c r="A43" s="128"/>
      <c r="B43" s="134"/>
      <c r="C43" s="134"/>
      <c r="D43" s="133" t="s">
        <v>1547</v>
      </c>
      <c r="E43" s="133" t="s">
        <v>1093</v>
      </c>
      <c r="F43" s="133" t="s">
        <v>1023</v>
      </c>
      <c r="G43" s="133" t="s">
        <v>1548</v>
      </c>
      <c r="H43" s="133" t="s">
        <v>904</v>
      </c>
      <c r="I43" s="133" t="s">
        <v>1504</v>
      </c>
      <c r="J43" s="133" t="s">
        <v>1529</v>
      </c>
    </row>
    <row r="44" spans="1:10">
      <c r="A44" s="128"/>
      <c r="B44" s="134"/>
      <c r="C44" s="134"/>
      <c r="D44" s="133" t="s">
        <v>1549</v>
      </c>
      <c r="E44" s="133" t="s">
        <v>1123</v>
      </c>
      <c r="F44" s="133" t="s">
        <v>1124</v>
      </c>
      <c r="G44" s="133" t="s">
        <v>1532</v>
      </c>
      <c r="H44" s="133" t="s">
        <v>904</v>
      </c>
      <c r="I44" s="133" t="s">
        <v>1504</v>
      </c>
      <c r="J44" s="133" t="s">
        <v>1529</v>
      </c>
    </row>
    <row r="45" spans="1:10">
      <c r="A45" s="128"/>
      <c r="B45" s="134"/>
      <c r="C45" s="134"/>
      <c r="D45" s="133" t="s">
        <v>1550</v>
      </c>
      <c r="E45" s="133" t="s">
        <v>1279</v>
      </c>
      <c r="F45" s="133" t="s">
        <v>907</v>
      </c>
      <c r="G45" s="133" t="s">
        <v>1551</v>
      </c>
      <c r="H45" s="133" t="s">
        <v>977</v>
      </c>
      <c r="I45" s="133" t="s">
        <v>1504</v>
      </c>
      <c r="J45" s="133" t="s">
        <v>1552</v>
      </c>
    </row>
    <row r="46" spans="1:10">
      <c r="A46" s="128"/>
      <c r="B46" s="135"/>
      <c r="C46" s="135"/>
      <c r="D46" s="133" t="s">
        <v>1550</v>
      </c>
      <c r="E46" s="133" t="s">
        <v>1553</v>
      </c>
      <c r="F46" s="133" t="s">
        <v>907</v>
      </c>
      <c r="G46" s="133" t="s">
        <v>1554</v>
      </c>
      <c r="H46" s="133" t="s">
        <v>977</v>
      </c>
      <c r="I46" s="133" t="s">
        <v>1504</v>
      </c>
      <c r="J46" s="133" t="s">
        <v>1555</v>
      </c>
    </row>
    <row r="47" spans="1:10">
      <c r="A47" s="128"/>
      <c r="B47" s="132" t="s">
        <v>1556</v>
      </c>
      <c r="C47" s="132" t="s">
        <v>1557</v>
      </c>
      <c r="D47" s="133" t="s">
        <v>1558</v>
      </c>
      <c r="E47" s="133" t="s">
        <v>1559</v>
      </c>
      <c r="F47" s="133" t="s">
        <v>1560</v>
      </c>
      <c r="G47" s="133" t="s">
        <v>1561</v>
      </c>
      <c r="H47" s="133" t="s">
        <v>895</v>
      </c>
      <c r="I47" s="133" t="s">
        <v>1504</v>
      </c>
      <c r="J47" s="133" t="s">
        <v>1562</v>
      </c>
    </row>
    <row r="48" spans="1:10">
      <c r="A48" s="128"/>
      <c r="B48" s="134"/>
      <c r="C48" s="134"/>
      <c r="D48" s="133" t="s">
        <v>1558</v>
      </c>
      <c r="E48" s="133" t="s">
        <v>1563</v>
      </c>
      <c r="F48" s="133" t="s">
        <v>941</v>
      </c>
      <c r="G48" s="133" t="s">
        <v>1564</v>
      </c>
      <c r="H48" s="133" t="s">
        <v>895</v>
      </c>
      <c r="I48" s="133" t="s">
        <v>1504</v>
      </c>
      <c r="J48" s="133" t="s">
        <v>1565</v>
      </c>
    </row>
    <row r="49" spans="1:10">
      <c r="A49" s="128"/>
      <c r="B49" s="134"/>
      <c r="C49" s="134"/>
      <c r="D49" s="133" t="s">
        <v>1558</v>
      </c>
      <c r="E49" s="133" t="s">
        <v>960</v>
      </c>
      <c r="F49" s="133" t="s">
        <v>1566</v>
      </c>
      <c r="G49" s="133" t="s">
        <v>1462</v>
      </c>
      <c r="H49" s="133" t="s">
        <v>895</v>
      </c>
      <c r="I49" s="133" t="s">
        <v>1504</v>
      </c>
      <c r="J49" s="133" t="s">
        <v>1567</v>
      </c>
    </row>
    <row r="50" spans="1:10">
      <c r="A50" s="128"/>
      <c r="B50" s="134"/>
      <c r="C50" s="134"/>
      <c r="D50" s="133" t="s">
        <v>1558</v>
      </c>
      <c r="E50" s="133" t="s">
        <v>1568</v>
      </c>
      <c r="F50" s="133" t="s">
        <v>1023</v>
      </c>
      <c r="G50" s="133" t="s">
        <v>1569</v>
      </c>
      <c r="H50" s="133" t="s">
        <v>895</v>
      </c>
      <c r="I50" s="133" t="s">
        <v>1504</v>
      </c>
      <c r="J50" s="133" t="s">
        <v>1562</v>
      </c>
    </row>
    <row r="51" spans="1:10">
      <c r="A51" s="128"/>
      <c r="B51" s="134"/>
      <c r="C51" s="134"/>
      <c r="D51" s="133" t="s">
        <v>1558</v>
      </c>
      <c r="E51" s="133" t="s">
        <v>1570</v>
      </c>
      <c r="F51" s="133" t="s">
        <v>1512</v>
      </c>
      <c r="G51" s="133" t="s">
        <v>1571</v>
      </c>
      <c r="H51" s="133" t="s">
        <v>904</v>
      </c>
      <c r="I51" s="133" t="s">
        <v>1504</v>
      </c>
      <c r="J51" s="133" t="s">
        <v>1529</v>
      </c>
    </row>
    <row r="52" spans="1:10">
      <c r="A52" s="128"/>
      <c r="B52" s="134"/>
      <c r="C52" s="134"/>
      <c r="D52" s="133" t="s">
        <v>1558</v>
      </c>
      <c r="E52" s="133" t="s">
        <v>1572</v>
      </c>
      <c r="F52" s="133" t="s">
        <v>1573</v>
      </c>
      <c r="G52" s="133" t="s">
        <v>1574</v>
      </c>
      <c r="H52" s="133" t="s">
        <v>895</v>
      </c>
      <c r="I52" s="133" t="s">
        <v>1504</v>
      </c>
      <c r="J52" s="133" t="s">
        <v>1575</v>
      </c>
    </row>
    <row r="53" spans="1:10">
      <c r="A53" s="128"/>
      <c r="B53" s="135"/>
      <c r="C53" s="135"/>
      <c r="D53" s="133" t="s">
        <v>1558</v>
      </c>
      <c r="E53" s="133" t="s">
        <v>1530</v>
      </c>
      <c r="F53" s="133" t="s">
        <v>1124</v>
      </c>
      <c r="G53" s="133" t="s">
        <v>1532</v>
      </c>
      <c r="H53" s="133" t="s">
        <v>904</v>
      </c>
      <c r="I53" s="133" t="s">
        <v>1504</v>
      </c>
      <c r="J53" s="133" t="s">
        <v>1529</v>
      </c>
    </row>
    <row r="54" spans="1:10">
      <c r="A54" s="128"/>
      <c r="B54" s="132" t="s">
        <v>617</v>
      </c>
      <c r="C54" s="132" t="s">
        <v>1104</v>
      </c>
      <c r="D54" s="133" t="s">
        <v>1104</v>
      </c>
      <c r="E54" s="133" t="s">
        <v>1105</v>
      </c>
      <c r="F54" s="133" t="s">
        <v>1576</v>
      </c>
      <c r="G54" s="133" t="s">
        <v>1107</v>
      </c>
      <c r="H54" s="133" t="s">
        <v>895</v>
      </c>
      <c r="I54" s="133" t="s">
        <v>874</v>
      </c>
      <c r="J54" s="133" t="s">
        <v>1577</v>
      </c>
    </row>
    <row r="55" spans="1:10">
      <c r="A55" s="128"/>
      <c r="B55" s="134"/>
      <c r="C55" s="134"/>
      <c r="D55" s="133" t="s">
        <v>1104</v>
      </c>
      <c r="E55" s="133" t="s">
        <v>960</v>
      </c>
      <c r="F55" s="133" t="s">
        <v>941</v>
      </c>
      <c r="G55" s="133" t="s">
        <v>1462</v>
      </c>
      <c r="H55" s="133" t="s">
        <v>895</v>
      </c>
      <c r="I55" s="133" t="s">
        <v>1504</v>
      </c>
      <c r="J55" s="133" t="s">
        <v>1513</v>
      </c>
    </row>
    <row r="56" spans="1:10">
      <c r="A56" s="128"/>
      <c r="B56" s="134"/>
      <c r="C56" s="134"/>
      <c r="D56" s="133" t="s">
        <v>1104</v>
      </c>
      <c r="E56" s="133" t="s">
        <v>962</v>
      </c>
      <c r="F56" s="133" t="s">
        <v>941</v>
      </c>
      <c r="G56" s="133" t="s">
        <v>1578</v>
      </c>
      <c r="H56" s="133" t="s">
        <v>895</v>
      </c>
      <c r="I56" s="133" t="s">
        <v>1504</v>
      </c>
      <c r="J56" s="133" t="s">
        <v>1579</v>
      </c>
    </row>
    <row r="57" spans="1:10">
      <c r="A57" s="128"/>
      <c r="B57" s="134"/>
      <c r="C57" s="134"/>
      <c r="D57" s="133" t="s">
        <v>1104</v>
      </c>
      <c r="E57" s="133" t="s">
        <v>1111</v>
      </c>
      <c r="F57" s="133" t="s">
        <v>941</v>
      </c>
      <c r="G57" s="133" t="s">
        <v>1580</v>
      </c>
      <c r="H57" s="133" t="s">
        <v>895</v>
      </c>
      <c r="I57" s="133" t="s">
        <v>1504</v>
      </c>
      <c r="J57" s="133" t="s">
        <v>1581</v>
      </c>
    </row>
    <row r="58" spans="1:10">
      <c r="A58" s="128"/>
      <c r="B58" s="134"/>
      <c r="C58" s="134"/>
      <c r="D58" s="133" t="s">
        <v>1104</v>
      </c>
      <c r="E58" s="133" t="s">
        <v>1115</v>
      </c>
      <c r="F58" s="133" t="s">
        <v>1116</v>
      </c>
      <c r="G58" s="133" t="s">
        <v>1582</v>
      </c>
      <c r="H58" s="133" t="s">
        <v>895</v>
      </c>
      <c r="I58" s="133" t="s">
        <v>1504</v>
      </c>
      <c r="J58" s="133" t="s">
        <v>1583</v>
      </c>
    </row>
    <row r="59" spans="1:10">
      <c r="A59" s="128"/>
      <c r="B59" s="134"/>
      <c r="C59" s="134"/>
      <c r="D59" s="133" t="s">
        <v>1104</v>
      </c>
      <c r="E59" s="133" t="s">
        <v>1584</v>
      </c>
      <c r="F59" s="133" t="s">
        <v>1585</v>
      </c>
      <c r="G59" s="133" t="s">
        <v>1586</v>
      </c>
      <c r="H59" s="133" t="s">
        <v>977</v>
      </c>
      <c r="I59" s="133" t="s">
        <v>874</v>
      </c>
      <c r="J59" s="133" t="s">
        <v>1587</v>
      </c>
    </row>
    <row r="60" spans="1:10">
      <c r="A60" s="128"/>
      <c r="B60" s="134"/>
      <c r="C60" s="134"/>
      <c r="D60" s="133" t="s">
        <v>1104</v>
      </c>
      <c r="E60" s="133" t="s">
        <v>1123</v>
      </c>
      <c r="F60" s="133" t="s">
        <v>1124</v>
      </c>
      <c r="G60" s="133" t="s">
        <v>1532</v>
      </c>
      <c r="H60" s="133" t="s">
        <v>904</v>
      </c>
      <c r="I60" s="133" t="s">
        <v>1504</v>
      </c>
      <c r="J60" s="133" t="s">
        <v>1529</v>
      </c>
    </row>
    <row r="61" spans="1:10">
      <c r="A61" s="128"/>
      <c r="B61" s="135"/>
      <c r="C61" s="135"/>
      <c r="D61" s="133" t="s">
        <v>1104</v>
      </c>
      <c r="E61" s="133" t="s">
        <v>1126</v>
      </c>
      <c r="F61" s="133" t="s">
        <v>907</v>
      </c>
      <c r="G61" s="133" t="s">
        <v>1588</v>
      </c>
      <c r="H61" s="133" t="s">
        <v>895</v>
      </c>
      <c r="I61" s="133" t="s">
        <v>1504</v>
      </c>
      <c r="J61" s="133" t="s">
        <v>1589</v>
      </c>
    </row>
    <row r="62" spans="1:10">
      <c r="A62" s="128"/>
      <c r="B62" s="132" t="s">
        <v>1129</v>
      </c>
      <c r="C62" s="136" t="s">
        <v>1137</v>
      </c>
      <c r="D62" s="133" t="s">
        <v>1138</v>
      </c>
      <c r="E62" s="133" t="s">
        <v>1590</v>
      </c>
      <c r="F62" s="133" t="s">
        <v>1086</v>
      </c>
      <c r="G62" s="133" t="s">
        <v>1591</v>
      </c>
      <c r="H62" s="133" t="s">
        <v>904</v>
      </c>
      <c r="I62" s="133" t="s">
        <v>874</v>
      </c>
      <c r="J62" s="133" t="s">
        <v>1592</v>
      </c>
    </row>
    <row r="63" spans="1:10">
      <c r="A63" s="128"/>
      <c r="B63" s="134"/>
      <c r="C63" s="132" t="s">
        <v>1130</v>
      </c>
      <c r="D63" s="133" t="s">
        <v>1131</v>
      </c>
      <c r="E63" s="133" t="s">
        <v>1131</v>
      </c>
      <c r="F63" s="133" t="s">
        <v>947</v>
      </c>
      <c r="G63" s="133" t="s">
        <v>1593</v>
      </c>
      <c r="H63" s="133" t="s">
        <v>895</v>
      </c>
      <c r="I63" s="133" t="s">
        <v>874</v>
      </c>
      <c r="J63" s="133" t="s">
        <v>1513</v>
      </c>
    </row>
    <row r="64" spans="1:10">
      <c r="A64" s="128"/>
      <c r="B64" s="135"/>
      <c r="C64" s="135"/>
      <c r="D64" s="133" t="s">
        <v>1131</v>
      </c>
      <c r="E64" s="133" t="s">
        <v>1134</v>
      </c>
      <c r="F64" s="133" t="s">
        <v>902</v>
      </c>
      <c r="G64" s="133" t="s">
        <v>1594</v>
      </c>
      <c r="H64" s="133" t="s">
        <v>904</v>
      </c>
      <c r="I64" s="133" t="s">
        <v>874</v>
      </c>
      <c r="J64" s="133" t="s">
        <v>1595</v>
      </c>
    </row>
    <row r="65" spans="1:10">
      <c r="A65" s="128"/>
      <c r="B65" s="132" t="s">
        <v>634</v>
      </c>
      <c r="C65" s="132" t="s">
        <v>1140</v>
      </c>
      <c r="D65" s="133" t="s">
        <v>1140</v>
      </c>
      <c r="E65" s="133" t="s">
        <v>1141</v>
      </c>
      <c r="F65" s="133" t="s">
        <v>1124</v>
      </c>
      <c r="G65" s="133" t="s">
        <v>1596</v>
      </c>
      <c r="H65" s="133" t="s">
        <v>904</v>
      </c>
      <c r="I65" s="133" t="s">
        <v>874</v>
      </c>
      <c r="J65" s="133" t="s">
        <v>1529</v>
      </c>
    </row>
    <row r="66" spans="1:10">
      <c r="A66" s="128"/>
      <c r="B66" s="134"/>
      <c r="C66" s="134"/>
      <c r="D66" s="133" t="s">
        <v>1140</v>
      </c>
      <c r="E66" s="133" t="s">
        <v>1145</v>
      </c>
      <c r="F66" s="133" t="s">
        <v>911</v>
      </c>
      <c r="G66" s="133" t="s">
        <v>1597</v>
      </c>
      <c r="H66" s="133" t="s">
        <v>895</v>
      </c>
      <c r="I66" s="133" t="s">
        <v>874</v>
      </c>
      <c r="J66" s="133" t="s">
        <v>1598</v>
      </c>
    </row>
    <row r="67" spans="1:10">
      <c r="A67" s="128"/>
      <c r="B67" s="134"/>
      <c r="C67" s="134"/>
      <c r="D67" s="133" t="s">
        <v>1140</v>
      </c>
      <c r="E67" s="133" t="s">
        <v>1149</v>
      </c>
      <c r="F67" s="133" t="s">
        <v>1456</v>
      </c>
      <c r="G67" s="133" t="s">
        <v>1599</v>
      </c>
      <c r="H67" s="133" t="s">
        <v>895</v>
      </c>
      <c r="I67" s="133" t="s">
        <v>874</v>
      </c>
      <c r="J67" s="133" t="s">
        <v>1600</v>
      </c>
    </row>
    <row r="68" spans="1:10">
      <c r="A68" s="128"/>
      <c r="B68" s="134"/>
      <c r="C68" s="134"/>
      <c r="D68" s="133" t="s">
        <v>1140</v>
      </c>
      <c r="E68" s="133" t="s">
        <v>1153</v>
      </c>
      <c r="F68" s="133" t="s">
        <v>911</v>
      </c>
      <c r="G68" s="137" t="s">
        <v>1601</v>
      </c>
      <c r="H68" s="133" t="s">
        <v>904</v>
      </c>
      <c r="I68" s="133" t="s">
        <v>874</v>
      </c>
      <c r="J68" s="133" t="s">
        <v>1529</v>
      </c>
    </row>
    <row r="69" spans="1:10">
      <c r="A69" s="128"/>
      <c r="B69" s="134"/>
      <c r="C69" s="134"/>
      <c r="D69" s="133" t="s">
        <v>1140</v>
      </c>
      <c r="E69" s="133" t="s">
        <v>1156</v>
      </c>
      <c r="F69" s="133" t="s">
        <v>993</v>
      </c>
      <c r="G69" s="133" t="s">
        <v>1602</v>
      </c>
      <c r="H69" s="133" t="s">
        <v>895</v>
      </c>
      <c r="I69" s="133" t="s">
        <v>874</v>
      </c>
      <c r="J69" s="133" t="s">
        <v>1463</v>
      </c>
    </row>
    <row r="70" spans="1:10">
      <c r="A70" s="128"/>
      <c r="B70" s="134"/>
      <c r="C70" s="135"/>
      <c r="D70" s="133" t="s">
        <v>1140</v>
      </c>
      <c r="E70" s="133" t="s">
        <v>1159</v>
      </c>
      <c r="F70" s="133" t="s">
        <v>1086</v>
      </c>
      <c r="G70" s="133" t="s">
        <v>1450</v>
      </c>
      <c r="H70" s="133" t="s">
        <v>895</v>
      </c>
      <c r="I70" s="133" t="s">
        <v>874</v>
      </c>
      <c r="J70" s="133" t="s">
        <v>1603</v>
      </c>
    </row>
    <row r="71" spans="1:10">
      <c r="A71" s="128"/>
      <c r="B71" s="134"/>
      <c r="C71" s="132" t="s">
        <v>1163</v>
      </c>
      <c r="D71" s="133" t="s">
        <v>1163</v>
      </c>
      <c r="E71" s="133" t="s">
        <v>1164</v>
      </c>
      <c r="F71" s="133" t="s">
        <v>951</v>
      </c>
      <c r="G71" s="133" t="s">
        <v>1450</v>
      </c>
      <c r="H71" s="133" t="s">
        <v>895</v>
      </c>
      <c r="I71" s="133" t="s">
        <v>874</v>
      </c>
      <c r="J71" s="133" t="s">
        <v>1463</v>
      </c>
    </row>
    <row r="72" spans="1:10">
      <c r="A72" s="128"/>
      <c r="B72" s="134"/>
      <c r="C72" s="134"/>
      <c r="D72" s="133" t="s">
        <v>1163</v>
      </c>
      <c r="E72" s="133" t="s">
        <v>1167</v>
      </c>
      <c r="F72" s="133" t="s">
        <v>947</v>
      </c>
      <c r="G72" s="133" t="s">
        <v>1453</v>
      </c>
      <c r="H72" s="133" t="s">
        <v>895</v>
      </c>
      <c r="I72" s="133" t="s">
        <v>874</v>
      </c>
      <c r="J72" s="133" t="s">
        <v>1463</v>
      </c>
    </row>
    <row r="73" spans="1:10">
      <c r="A73" s="128"/>
      <c r="B73" s="134"/>
      <c r="C73" s="134"/>
      <c r="D73" s="133" t="s">
        <v>1163</v>
      </c>
      <c r="E73" s="133" t="s">
        <v>1169</v>
      </c>
      <c r="F73" s="133" t="s">
        <v>951</v>
      </c>
      <c r="G73" s="133" t="s">
        <v>1604</v>
      </c>
      <c r="H73" s="133" t="s">
        <v>904</v>
      </c>
      <c r="I73" s="133" t="s">
        <v>874</v>
      </c>
      <c r="J73" s="133" t="s">
        <v>1463</v>
      </c>
    </row>
    <row r="74" spans="1:10">
      <c r="A74" s="128"/>
      <c r="B74" s="134"/>
      <c r="C74" s="134"/>
      <c r="D74" s="133" t="s">
        <v>1163</v>
      </c>
      <c r="E74" s="133" t="s">
        <v>1605</v>
      </c>
      <c r="F74" s="133" t="s">
        <v>1606</v>
      </c>
      <c r="G74" s="133" t="s">
        <v>1607</v>
      </c>
      <c r="H74" s="133" t="s">
        <v>895</v>
      </c>
      <c r="I74" s="133" t="s">
        <v>874</v>
      </c>
      <c r="J74" s="133" t="s">
        <v>1608</v>
      </c>
    </row>
    <row r="75" spans="1:10">
      <c r="A75" s="128"/>
      <c r="B75" s="134"/>
      <c r="C75" s="134"/>
      <c r="D75" s="133" t="s">
        <v>1163</v>
      </c>
      <c r="E75" s="133" t="s">
        <v>1609</v>
      </c>
      <c r="F75" s="133" t="s">
        <v>1606</v>
      </c>
      <c r="G75" s="133" t="s">
        <v>1610</v>
      </c>
      <c r="H75" s="133" t="s">
        <v>895</v>
      </c>
      <c r="I75" s="133" t="s">
        <v>874</v>
      </c>
      <c r="J75" s="133" t="s">
        <v>1463</v>
      </c>
    </row>
    <row r="76" spans="1:10">
      <c r="A76" s="128"/>
      <c r="B76" s="134"/>
      <c r="C76" s="135"/>
      <c r="D76" s="133" t="s">
        <v>1163</v>
      </c>
      <c r="E76" s="133" t="s">
        <v>1177</v>
      </c>
      <c r="F76" s="133" t="s">
        <v>941</v>
      </c>
      <c r="G76" s="133" t="s">
        <v>1611</v>
      </c>
      <c r="H76" s="133" t="s">
        <v>904</v>
      </c>
      <c r="I76" s="133" t="s">
        <v>874</v>
      </c>
      <c r="J76" s="133" t="s">
        <v>1612</v>
      </c>
    </row>
    <row r="77" spans="1:10">
      <c r="A77" s="128"/>
      <c r="B77" s="134"/>
      <c r="C77" s="132" t="s">
        <v>1180</v>
      </c>
      <c r="D77" s="133" t="s">
        <v>1180</v>
      </c>
      <c r="E77" s="133" t="s">
        <v>1181</v>
      </c>
      <c r="F77" s="133" t="s">
        <v>1613</v>
      </c>
      <c r="G77" s="133" t="s">
        <v>958</v>
      </c>
      <c r="H77" s="133" t="s">
        <v>904</v>
      </c>
      <c r="I77" s="133" t="s">
        <v>874</v>
      </c>
      <c r="J77" s="133" t="s">
        <v>1614</v>
      </c>
    </row>
    <row r="78" spans="1:10">
      <c r="A78" s="128"/>
      <c r="B78" s="134"/>
      <c r="C78" s="134"/>
      <c r="D78" s="133" t="s">
        <v>1180</v>
      </c>
      <c r="E78" s="133" t="s">
        <v>1615</v>
      </c>
      <c r="F78" s="133" t="s">
        <v>1585</v>
      </c>
      <c r="G78" s="133" t="s">
        <v>1616</v>
      </c>
      <c r="H78" s="133" t="s">
        <v>904</v>
      </c>
      <c r="I78" s="133" t="s">
        <v>874</v>
      </c>
      <c r="J78" s="133" t="s">
        <v>1617</v>
      </c>
    </row>
    <row r="79" spans="1:10">
      <c r="A79" s="128"/>
      <c r="B79" s="134"/>
      <c r="C79" s="134"/>
      <c r="D79" s="133" t="s">
        <v>1180</v>
      </c>
      <c r="E79" s="133" t="s">
        <v>1191</v>
      </c>
      <c r="F79" s="133" t="s">
        <v>1618</v>
      </c>
      <c r="G79" s="133" t="s">
        <v>1619</v>
      </c>
      <c r="H79" s="133" t="s">
        <v>904</v>
      </c>
      <c r="I79" s="133" t="s">
        <v>874</v>
      </c>
      <c r="J79" s="133" t="s">
        <v>1620</v>
      </c>
    </row>
    <row r="80" spans="1:10">
      <c r="A80" s="128"/>
      <c r="B80" s="134"/>
      <c r="C80" s="134"/>
      <c r="D80" s="133" t="s">
        <v>1180</v>
      </c>
      <c r="E80" s="133" t="s">
        <v>1199</v>
      </c>
      <c r="F80" s="133" t="s">
        <v>993</v>
      </c>
      <c r="G80" s="133" t="s">
        <v>1621</v>
      </c>
      <c r="H80" s="133" t="s">
        <v>904</v>
      </c>
      <c r="I80" s="133" t="s">
        <v>874</v>
      </c>
      <c r="J80" s="133" t="s">
        <v>1463</v>
      </c>
    </row>
    <row r="81" spans="1:10">
      <c r="A81" s="128"/>
      <c r="B81" s="134"/>
      <c r="C81" s="134"/>
      <c r="D81" s="133" t="s">
        <v>1180</v>
      </c>
      <c r="E81" s="133" t="s">
        <v>1201</v>
      </c>
      <c r="F81" s="133" t="s">
        <v>902</v>
      </c>
      <c r="G81" s="133" t="s">
        <v>1622</v>
      </c>
      <c r="H81" s="133" t="s">
        <v>904</v>
      </c>
      <c r="I81" s="133" t="s">
        <v>874</v>
      </c>
      <c r="J81" s="133" t="s">
        <v>1623</v>
      </c>
    </row>
    <row r="82" spans="1:10">
      <c r="A82" s="128"/>
      <c r="B82" s="134"/>
      <c r="C82" s="135"/>
      <c r="D82" s="133" t="s">
        <v>1180</v>
      </c>
      <c r="E82" s="133" t="s">
        <v>1204</v>
      </c>
      <c r="F82" s="133" t="s">
        <v>1624</v>
      </c>
      <c r="G82" s="133" t="s">
        <v>1625</v>
      </c>
      <c r="H82" s="133" t="s">
        <v>904</v>
      </c>
      <c r="I82" s="133" t="s">
        <v>874</v>
      </c>
      <c r="J82" s="133" t="s">
        <v>1529</v>
      </c>
    </row>
    <row r="83" spans="1:10">
      <c r="A83" s="128"/>
      <c r="B83" s="134"/>
      <c r="C83" s="132" t="s">
        <v>1208</v>
      </c>
      <c r="D83" s="133" t="s">
        <v>1208</v>
      </c>
      <c r="E83" s="133" t="s">
        <v>1209</v>
      </c>
      <c r="F83" s="133" t="s">
        <v>907</v>
      </c>
      <c r="G83" s="133" t="s">
        <v>1626</v>
      </c>
      <c r="H83" s="133" t="s">
        <v>895</v>
      </c>
      <c r="I83" s="133" t="s">
        <v>874</v>
      </c>
      <c r="J83" s="133" t="s">
        <v>1627</v>
      </c>
    </row>
    <row r="84" spans="1:10">
      <c r="A84" s="128"/>
      <c r="B84" s="134"/>
      <c r="C84" s="135"/>
      <c r="D84" s="133" t="s">
        <v>1208</v>
      </c>
      <c r="E84" s="133" t="s">
        <v>1628</v>
      </c>
      <c r="F84" s="133" t="s">
        <v>902</v>
      </c>
      <c r="G84" s="133" t="s">
        <v>958</v>
      </c>
      <c r="H84" s="133" t="s">
        <v>904</v>
      </c>
      <c r="I84" s="133" t="s">
        <v>438</v>
      </c>
      <c r="J84" s="133" t="s">
        <v>1629</v>
      </c>
    </row>
    <row r="85" spans="1:10">
      <c r="A85" s="128"/>
      <c r="B85" s="134"/>
      <c r="C85" s="136" t="s">
        <v>1214</v>
      </c>
      <c r="D85" s="133" t="s">
        <v>1214</v>
      </c>
      <c r="E85" s="133" t="s">
        <v>1215</v>
      </c>
      <c r="F85" s="133" t="s">
        <v>1086</v>
      </c>
      <c r="G85" s="133" t="s">
        <v>1630</v>
      </c>
      <c r="H85" s="133" t="s">
        <v>904</v>
      </c>
      <c r="I85" s="133" t="s">
        <v>874</v>
      </c>
      <c r="J85" s="133" t="s">
        <v>1631</v>
      </c>
    </row>
    <row r="86" spans="1:10">
      <c r="A86" s="128"/>
      <c r="B86" s="134"/>
      <c r="C86" s="136" t="s">
        <v>1218</v>
      </c>
      <c r="D86" s="133" t="s">
        <v>1218</v>
      </c>
      <c r="E86" s="133" t="s">
        <v>1632</v>
      </c>
      <c r="F86" s="133" t="s">
        <v>1633</v>
      </c>
      <c r="G86" s="133" t="s">
        <v>1634</v>
      </c>
      <c r="H86" s="133" t="s">
        <v>904</v>
      </c>
      <c r="I86" s="133" t="s">
        <v>874</v>
      </c>
      <c r="J86" s="133" t="s">
        <v>1635</v>
      </c>
    </row>
    <row r="87" spans="1:10">
      <c r="A87" s="128"/>
      <c r="B87" s="134"/>
      <c r="C87" s="132" t="s">
        <v>1223</v>
      </c>
      <c r="D87" s="133" t="s">
        <v>1223</v>
      </c>
      <c r="E87" s="133" t="s">
        <v>1224</v>
      </c>
      <c r="F87" s="133" t="s">
        <v>1636</v>
      </c>
      <c r="G87" s="133" t="s">
        <v>1637</v>
      </c>
      <c r="H87" s="133" t="s">
        <v>904</v>
      </c>
      <c r="I87" s="133" t="s">
        <v>874</v>
      </c>
      <c r="J87" s="133" t="s">
        <v>1638</v>
      </c>
    </row>
    <row r="88" spans="1:10">
      <c r="A88" s="128"/>
      <c r="B88" s="134"/>
      <c r="C88" s="135"/>
      <c r="D88" s="133" t="s">
        <v>1223</v>
      </c>
      <c r="E88" s="133" t="s">
        <v>1639</v>
      </c>
      <c r="F88" s="133" t="s">
        <v>907</v>
      </c>
      <c r="G88" s="133" t="s">
        <v>1640</v>
      </c>
      <c r="H88" s="133" t="s">
        <v>904</v>
      </c>
      <c r="I88" s="133" t="s">
        <v>874</v>
      </c>
      <c r="J88" s="133" t="s">
        <v>1641</v>
      </c>
    </row>
    <row r="89" spans="1:10">
      <c r="A89" s="128"/>
      <c r="B89" s="138" t="s">
        <v>643</v>
      </c>
      <c r="C89" s="132" t="s">
        <v>1231</v>
      </c>
      <c r="D89" s="133" t="s">
        <v>1642</v>
      </c>
      <c r="E89" s="133" t="s">
        <v>1232</v>
      </c>
      <c r="F89" s="133" t="s">
        <v>911</v>
      </c>
      <c r="G89" s="133" t="s">
        <v>1643</v>
      </c>
      <c r="H89" s="133" t="s">
        <v>895</v>
      </c>
      <c r="I89" s="133" t="s">
        <v>410</v>
      </c>
      <c r="J89" s="133" t="s">
        <v>1644</v>
      </c>
    </row>
    <row r="90" spans="1:10">
      <c r="A90" s="128"/>
      <c r="B90" s="138"/>
      <c r="C90" s="134"/>
      <c r="D90" s="133" t="s">
        <v>1642</v>
      </c>
      <c r="E90" s="133" t="s">
        <v>1235</v>
      </c>
      <c r="F90" s="133" t="s">
        <v>941</v>
      </c>
      <c r="G90" s="133" t="s">
        <v>1645</v>
      </c>
      <c r="H90" s="133" t="s">
        <v>895</v>
      </c>
      <c r="I90" s="133" t="s">
        <v>410</v>
      </c>
      <c r="J90" s="133" t="s">
        <v>1646</v>
      </c>
    </row>
    <row r="91" spans="1:10">
      <c r="A91" s="128"/>
      <c r="B91" s="138"/>
      <c r="C91" s="134"/>
      <c r="D91" s="133" t="s">
        <v>1642</v>
      </c>
      <c r="E91" s="133" t="s">
        <v>1238</v>
      </c>
      <c r="F91" s="133" t="s">
        <v>1023</v>
      </c>
      <c r="G91" s="133" t="s">
        <v>1647</v>
      </c>
      <c r="H91" s="133" t="s">
        <v>895</v>
      </c>
      <c r="I91" s="133" t="s">
        <v>410</v>
      </c>
      <c r="J91" s="133" t="s">
        <v>1648</v>
      </c>
    </row>
    <row r="92" spans="1:10">
      <c r="A92" s="128"/>
      <c r="B92" s="138"/>
      <c r="C92" s="134"/>
      <c r="D92" s="133" t="s">
        <v>1642</v>
      </c>
      <c r="E92" s="133" t="s">
        <v>1241</v>
      </c>
      <c r="F92" s="133" t="s">
        <v>1124</v>
      </c>
      <c r="G92" s="133" t="s">
        <v>1649</v>
      </c>
      <c r="H92" s="133" t="s">
        <v>904</v>
      </c>
      <c r="I92" s="133" t="s">
        <v>410</v>
      </c>
      <c r="J92" s="133" t="s">
        <v>1650</v>
      </c>
    </row>
    <row r="93" spans="1:10">
      <c r="A93" s="128"/>
      <c r="B93" s="138"/>
      <c r="C93" s="134"/>
      <c r="D93" s="133" t="s">
        <v>1642</v>
      </c>
      <c r="E93" s="133" t="s">
        <v>1244</v>
      </c>
      <c r="F93" s="133" t="s">
        <v>1651</v>
      </c>
      <c r="G93" s="133" t="s">
        <v>1107</v>
      </c>
      <c r="H93" s="133" t="s">
        <v>895</v>
      </c>
      <c r="I93" s="133" t="s">
        <v>874</v>
      </c>
      <c r="J93" s="133" t="s">
        <v>1652</v>
      </c>
    </row>
    <row r="94" spans="1:10">
      <c r="A94" s="128"/>
      <c r="B94" s="138"/>
      <c r="C94" s="134"/>
      <c r="D94" s="133" t="s">
        <v>1642</v>
      </c>
      <c r="E94" s="133" t="s">
        <v>1247</v>
      </c>
      <c r="F94" s="133" t="s">
        <v>941</v>
      </c>
      <c r="G94" s="133" t="s">
        <v>1653</v>
      </c>
      <c r="H94" s="133" t="s">
        <v>904</v>
      </c>
      <c r="I94" s="133" t="s">
        <v>410</v>
      </c>
      <c r="J94" s="133" t="s">
        <v>1654</v>
      </c>
    </row>
    <row r="95" spans="1:10">
      <c r="A95" s="128"/>
      <c r="B95" s="138"/>
      <c r="C95" s="134"/>
      <c r="D95" s="133" t="s">
        <v>1642</v>
      </c>
      <c r="E95" s="133" t="s">
        <v>1655</v>
      </c>
      <c r="F95" s="133" t="s">
        <v>941</v>
      </c>
      <c r="G95" s="133" t="s">
        <v>1656</v>
      </c>
      <c r="H95" s="133" t="s">
        <v>904</v>
      </c>
      <c r="I95" s="133" t="s">
        <v>410</v>
      </c>
      <c r="J95" s="133" t="s">
        <v>1657</v>
      </c>
    </row>
    <row r="96" spans="1:10">
      <c r="A96" s="128"/>
      <c r="B96" s="138"/>
      <c r="C96" s="135"/>
      <c r="D96" s="133" t="s">
        <v>1642</v>
      </c>
      <c r="E96" s="133" t="s">
        <v>1254</v>
      </c>
      <c r="F96" s="133" t="s">
        <v>907</v>
      </c>
      <c r="G96" s="133" t="s">
        <v>1658</v>
      </c>
      <c r="H96" s="133" t="s">
        <v>895</v>
      </c>
      <c r="I96" s="133" t="s">
        <v>410</v>
      </c>
      <c r="J96" s="133" t="s">
        <v>1659</v>
      </c>
    </row>
    <row r="97" spans="1:10">
      <c r="A97" s="128"/>
      <c r="B97" s="138"/>
      <c r="C97" s="139" t="s">
        <v>1257</v>
      </c>
      <c r="D97" s="133" t="s">
        <v>1084</v>
      </c>
      <c r="E97" s="133" t="s">
        <v>1538</v>
      </c>
      <c r="F97" s="133" t="s">
        <v>1086</v>
      </c>
      <c r="G97" s="133" t="s">
        <v>1660</v>
      </c>
      <c r="H97" s="133" t="s">
        <v>904</v>
      </c>
      <c r="I97" s="133" t="s">
        <v>874</v>
      </c>
      <c r="J97" s="133" t="s">
        <v>1661</v>
      </c>
    </row>
    <row r="98" spans="1:10">
      <c r="A98" s="128"/>
      <c r="B98" s="138"/>
      <c r="C98" s="132" t="s">
        <v>1089</v>
      </c>
      <c r="D98" s="133" t="s">
        <v>1089</v>
      </c>
      <c r="E98" s="133" t="s">
        <v>1090</v>
      </c>
      <c r="F98" s="133" t="s">
        <v>951</v>
      </c>
      <c r="G98" s="133" t="s">
        <v>1662</v>
      </c>
      <c r="H98" s="133" t="s">
        <v>895</v>
      </c>
      <c r="I98" s="133" t="s">
        <v>874</v>
      </c>
      <c r="J98" s="133" t="s">
        <v>1663</v>
      </c>
    </row>
    <row r="99" spans="1:10">
      <c r="A99" s="128"/>
      <c r="B99" s="138"/>
      <c r="C99" s="134"/>
      <c r="D99" s="133" t="s">
        <v>1089</v>
      </c>
      <c r="E99" s="133" t="s">
        <v>1664</v>
      </c>
      <c r="F99" s="133" t="s">
        <v>1268</v>
      </c>
      <c r="G99" s="133" t="s">
        <v>958</v>
      </c>
      <c r="H99" s="133" t="s">
        <v>904</v>
      </c>
      <c r="I99" s="133" t="s">
        <v>874</v>
      </c>
      <c r="J99" s="133" t="s">
        <v>1665</v>
      </c>
    </row>
    <row r="100" spans="1:10">
      <c r="A100" s="128"/>
      <c r="B100" s="138"/>
      <c r="C100" s="134"/>
      <c r="D100" s="133" t="s">
        <v>1089</v>
      </c>
      <c r="E100" s="133" t="s">
        <v>1093</v>
      </c>
      <c r="F100" s="133" t="s">
        <v>1023</v>
      </c>
      <c r="G100" s="133" t="s">
        <v>1548</v>
      </c>
      <c r="H100" s="133" t="s">
        <v>904</v>
      </c>
      <c r="I100" s="133" t="s">
        <v>410</v>
      </c>
      <c r="J100" s="133" t="s">
        <v>1666</v>
      </c>
    </row>
    <row r="101" spans="1:10">
      <c r="A101" s="128"/>
      <c r="B101" s="138"/>
      <c r="C101" s="134"/>
      <c r="D101" s="133" t="s">
        <v>1089</v>
      </c>
      <c r="E101" s="133" t="s">
        <v>1123</v>
      </c>
      <c r="F101" s="133" t="s">
        <v>1124</v>
      </c>
      <c r="G101" s="133" t="s">
        <v>1667</v>
      </c>
      <c r="H101" s="133" t="s">
        <v>904</v>
      </c>
      <c r="I101" s="133" t="s">
        <v>410</v>
      </c>
      <c r="J101" s="133" t="s">
        <v>1668</v>
      </c>
    </row>
    <row r="102" spans="1:10">
      <c r="A102" s="128"/>
      <c r="B102" s="138"/>
      <c r="C102" s="134"/>
      <c r="D102" s="133" t="s">
        <v>1089</v>
      </c>
      <c r="E102" s="133" t="s">
        <v>1276</v>
      </c>
      <c r="F102" s="133" t="s">
        <v>907</v>
      </c>
      <c r="G102" s="133" t="s">
        <v>1669</v>
      </c>
      <c r="H102" s="133" t="s">
        <v>977</v>
      </c>
      <c r="I102" s="133" t="s">
        <v>410</v>
      </c>
      <c r="J102" s="133" t="s">
        <v>1670</v>
      </c>
    </row>
    <row r="103" spans="1:10">
      <c r="A103" s="128"/>
      <c r="B103" s="138"/>
      <c r="C103" s="135"/>
      <c r="D103" s="133" t="s">
        <v>1089</v>
      </c>
      <c r="E103" s="133" t="s">
        <v>1279</v>
      </c>
      <c r="F103" s="133" t="s">
        <v>907</v>
      </c>
      <c r="G103" s="133" t="s">
        <v>1551</v>
      </c>
      <c r="H103" s="133" t="s">
        <v>977</v>
      </c>
      <c r="I103" s="133" t="s">
        <v>410</v>
      </c>
      <c r="J103" s="133" t="s">
        <v>1671</v>
      </c>
    </row>
    <row r="104" spans="1:10">
      <c r="A104" s="128"/>
      <c r="B104" s="138"/>
      <c r="C104" s="139" t="s">
        <v>624</v>
      </c>
      <c r="D104" s="133" t="s">
        <v>1672</v>
      </c>
      <c r="E104" s="133" t="s">
        <v>1590</v>
      </c>
      <c r="F104" s="133" t="s">
        <v>1086</v>
      </c>
      <c r="G104" s="133" t="s">
        <v>1673</v>
      </c>
      <c r="H104" s="133" t="s">
        <v>904</v>
      </c>
      <c r="I104" s="133" t="s">
        <v>874</v>
      </c>
      <c r="J104" s="133" t="s">
        <v>1674</v>
      </c>
    </row>
    <row r="105" spans="1:10">
      <c r="A105" s="128"/>
      <c r="B105" s="138"/>
      <c r="C105" s="139" t="s">
        <v>1297</v>
      </c>
      <c r="D105" s="133" t="s">
        <v>1675</v>
      </c>
      <c r="E105" s="133" t="s">
        <v>1298</v>
      </c>
      <c r="F105" s="133" t="s">
        <v>1676</v>
      </c>
      <c r="G105" s="133" t="s">
        <v>1677</v>
      </c>
      <c r="H105" s="133" t="s">
        <v>1301</v>
      </c>
      <c r="I105" s="133" t="s">
        <v>874</v>
      </c>
      <c r="J105" s="133" t="s">
        <v>1678</v>
      </c>
    </row>
    <row r="106" spans="1:10">
      <c r="A106" s="128"/>
      <c r="B106" s="138"/>
      <c r="C106" s="139" t="s">
        <v>1303</v>
      </c>
      <c r="D106" s="133" t="s">
        <v>1679</v>
      </c>
      <c r="E106" s="133" t="s">
        <v>1304</v>
      </c>
      <c r="F106" s="133" t="s">
        <v>1081</v>
      </c>
      <c r="G106" s="133" t="s">
        <v>1680</v>
      </c>
      <c r="H106" s="133" t="s">
        <v>895</v>
      </c>
      <c r="I106" s="133" t="s">
        <v>874</v>
      </c>
      <c r="J106" s="133" t="s">
        <v>1681</v>
      </c>
    </row>
    <row r="107" spans="1:10">
      <c r="B107" s="124"/>
    </row>
    <row r="108" spans="1:10">
      <c r="B108" s="124"/>
    </row>
    <row r="109" spans="1:10">
      <c r="B109" s="123"/>
    </row>
    <row r="182" spans="2:2" ht="31.5">
      <c r="B182" s="120" t="s">
        <v>1682</v>
      </c>
    </row>
    <row r="183" spans="2:2">
      <c r="B183" s="119" t="s">
        <v>1683</v>
      </c>
    </row>
    <row r="184" spans="2:2" ht="24">
      <c r="B184" s="121" t="s">
        <v>1684</v>
      </c>
    </row>
    <row r="185" spans="2:2">
      <c r="B185" s="119">
        <v>1</v>
      </c>
    </row>
    <row r="194" spans="2:3">
      <c r="C194" t="s">
        <v>1685</v>
      </c>
    </row>
    <row r="195" spans="2:3">
      <c r="C195" t="s">
        <v>1686</v>
      </c>
    </row>
    <row r="196" spans="2:3">
      <c r="C196" t="s">
        <v>1687</v>
      </c>
    </row>
    <row r="197" spans="2:3">
      <c r="C197" t="s">
        <v>1688</v>
      </c>
    </row>
    <row r="198" spans="2:3">
      <c r="C198" t="s">
        <v>1689</v>
      </c>
    </row>
    <row r="199" spans="2:3">
      <c r="C199" t="s">
        <v>1690</v>
      </c>
    </row>
    <row r="200" spans="2:3">
      <c r="C200" t="s">
        <v>1691</v>
      </c>
    </row>
    <row r="203" spans="2:3">
      <c r="B203" s="119">
        <v>2</v>
      </c>
    </row>
    <row r="204" spans="2:3">
      <c r="C204" t="s">
        <v>1692</v>
      </c>
    </row>
    <row r="207" spans="2:3" ht="24">
      <c r="B207" s="121" t="s">
        <v>1693</v>
      </c>
    </row>
    <row r="208" spans="2:3">
      <c r="B208" s="119" t="s">
        <v>1694</v>
      </c>
    </row>
    <row r="209" spans="2:2">
      <c r="B209" s="119" t="s">
        <v>1695</v>
      </c>
    </row>
    <row r="212" spans="2:2" ht="24">
      <c r="B212" s="121" t="s">
        <v>1696</v>
      </c>
    </row>
    <row r="213" spans="2:2">
      <c r="B213" s="122" t="s">
        <v>1697</v>
      </c>
    </row>
    <row r="223" spans="2:2">
      <c r="B223" s="122" t="s">
        <v>1698</v>
      </c>
    </row>
    <row r="226" spans="2:3" ht="24">
      <c r="B226" s="121" t="s">
        <v>1699</v>
      </c>
    </row>
    <row r="227" spans="2:3">
      <c r="B227" s="122" t="s">
        <v>1700</v>
      </c>
    </row>
    <row r="228" spans="2:3">
      <c r="B228" s="122" t="s">
        <v>1701</v>
      </c>
    </row>
    <row r="231" spans="2:3">
      <c r="C231" t="s">
        <v>1702</v>
      </c>
    </row>
    <row r="234" spans="2:3">
      <c r="B234" s="122" t="s">
        <v>1703</v>
      </c>
    </row>
    <row r="236" spans="2:3">
      <c r="B236" s="122" t="s">
        <v>1704</v>
      </c>
    </row>
    <row r="239" spans="2:3" ht="24">
      <c r="B239" s="121" t="s">
        <v>1705</v>
      </c>
    </row>
    <row r="240" spans="2:3">
      <c r="B240" s="119" t="s">
        <v>1706</v>
      </c>
    </row>
    <row r="241" spans="2:2">
      <c r="B241" s="119" t="s">
        <v>1707</v>
      </c>
    </row>
    <row r="247" spans="2:2">
      <c r="B247" s="122" t="s">
        <v>1708</v>
      </c>
    </row>
    <row r="249" spans="2:2" ht="24">
      <c r="B249" s="121" t="s">
        <v>1709</v>
      </c>
    </row>
    <row r="250" spans="2:2">
      <c r="B250" s="119" t="s">
        <v>1710</v>
      </c>
    </row>
    <row r="251" spans="2:2">
      <c r="B251" s="122" t="s">
        <v>1711</v>
      </c>
    </row>
    <row r="253" spans="2:2">
      <c r="B253" s="122" t="s">
        <v>1712</v>
      </c>
    </row>
    <row r="255" spans="2:2" ht="24">
      <c r="B255" s="121" t="s">
        <v>1713</v>
      </c>
    </row>
    <row r="256" spans="2:2">
      <c r="B256" s="119" t="s">
        <v>1714</v>
      </c>
    </row>
    <row r="260" spans="2:2">
      <c r="B260" s="122" t="s">
        <v>1715</v>
      </c>
    </row>
    <row r="263" spans="2:2" ht="24">
      <c r="B263" s="121" t="s">
        <v>1716</v>
      </c>
    </row>
    <row r="264" spans="2:2">
      <c r="B264" s="119" t="s">
        <v>1717</v>
      </c>
    </row>
    <row r="268" spans="2:2">
      <c r="B268" s="122" t="s">
        <v>1718</v>
      </c>
    </row>
    <row r="269" spans="2:2" ht="24">
      <c r="B269" s="121" t="s">
        <v>1719</v>
      </c>
    </row>
    <row r="270" spans="2:2">
      <c r="B270" s="119" t="s">
        <v>1720</v>
      </c>
    </row>
    <row r="274" spans="2:2">
      <c r="B274" s="122" t="s">
        <v>1721</v>
      </c>
    </row>
    <row r="276" spans="2:2" ht="24">
      <c r="B276" s="121" t="s">
        <v>1722</v>
      </c>
    </row>
    <row r="277" spans="2:2">
      <c r="B277" s="119" t="s">
        <v>1723</v>
      </c>
    </row>
    <row r="278" spans="2:2">
      <c r="B278" s="119" t="s">
        <v>1724</v>
      </c>
    </row>
    <row r="279" spans="2:2" ht="24">
      <c r="B279" s="121" t="s">
        <v>1725</v>
      </c>
    </row>
    <row r="280" spans="2:2">
      <c r="B280" s="119" t="s">
        <v>1726</v>
      </c>
    </row>
    <row r="281" spans="2:2">
      <c r="B281" s="119" t="s">
        <v>1727</v>
      </c>
    </row>
    <row r="282" spans="2:2">
      <c r="B282" s="119" t="s">
        <v>1728</v>
      </c>
    </row>
    <row r="283" spans="2:2">
      <c r="B283" s="119" t="s">
        <v>1729</v>
      </c>
    </row>
    <row r="284" spans="2:2">
      <c r="B284" s="119" t="s">
        <v>1728</v>
      </c>
    </row>
    <row r="285" spans="2:2">
      <c r="B285" s="119" t="s">
        <v>1730</v>
      </c>
    </row>
    <row r="286" spans="2:2">
      <c r="B286" s="119" t="s">
        <v>1728</v>
      </c>
    </row>
    <row r="287" spans="2:2">
      <c r="B287" s="119" t="s">
        <v>1401</v>
      </c>
    </row>
    <row r="288" spans="2:2">
      <c r="B288" s="119" t="s">
        <v>1728</v>
      </c>
    </row>
    <row r="289" spans="2:2">
      <c r="B289" s="119" t="s">
        <v>1731</v>
      </c>
    </row>
    <row r="290" spans="2:2">
      <c r="B290" s="119" t="s">
        <v>1732</v>
      </c>
    </row>
    <row r="291" spans="2:2" ht="24">
      <c r="B291" s="121" t="s">
        <v>1733</v>
      </c>
    </row>
    <row r="292" spans="2:2">
      <c r="B292" s="119" t="s">
        <v>1734</v>
      </c>
    </row>
    <row r="293" spans="2:2">
      <c r="B293" s="119" t="s">
        <v>1735</v>
      </c>
    </row>
    <row r="294" spans="2:2">
      <c r="B294" s="119" t="s">
        <v>1736</v>
      </c>
    </row>
    <row r="295" spans="2:2">
      <c r="B295" s="119" t="s">
        <v>1737</v>
      </c>
    </row>
  </sheetData>
  <mergeCells count="32">
    <mergeCell ref="C87:C88"/>
    <mergeCell ref="C89:C96"/>
    <mergeCell ref="C98:C103"/>
    <mergeCell ref="A2:A106"/>
    <mergeCell ref="C54:C61"/>
    <mergeCell ref="C63:C64"/>
    <mergeCell ref="C65:C70"/>
    <mergeCell ref="C71:C76"/>
    <mergeCell ref="C77:C82"/>
    <mergeCell ref="C83:C84"/>
    <mergeCell ref="C26:C28"/>
    <mergeCell ref="C29:C30"/>
    <mergeCell ref="C31:C32"/>
    <mergeCell ref="C34:C39"/>
    <mergeCell ref="C41:C46"/>
    <mergeCell ref="C47:C53"/>
    <mergeCell ref="B54:B61"/>
    <mergeCell ref="B62:B64"/>
    <mergeCell ref="B65:B88"/>
    <mergeCell ref="B89:B106"/>
    <mergeCell ref="C2:C5"/>
    <mergeCell ref="C6:C11"/>
    <mergeCell ref="C12:C13"/>
    <mergeCell ref="C14:C16"/>
    <mergeCell ref="C17:C22"/>
    <mergeCell ref="B24:B32"/>
    <mergeCell ref="B33:B39"/>
    <mergeCell ref="B40:B46"/>
    <mergeCell ref="B47:B53"/>
    <mergeCell ref="B2:B13"/>
    <mergeCell ref="B14:B16"/>
    <mergeCell ref="B17:B23"/>
  </mergeCells>
  <hyperlinks>
    <hyperlink ref="G68" r:id="rId1" xr:uid="{26E3C615-C877-4414-A9C5-66EB670699B3}"/>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1"/>
  <sheetViews>
    <sheetView workbookViewId="0">
      <selection activeCell="A3" sqref="A3"/>
    </sheetView>
  </sheetViews>
  <sheetFormatPr defaultRowHeight="14.1"/>
  <cols>
    <col min="1" max="1" width="49.28515625" bestFit="1" customWidth="1"/>
  </cols>
  <sheetData>
    <row r="1" spans="1:5">
      <c r="A1" s="24" t="s">
        <v>1738</v>
      </c>
    </row>
    <row r="2" spans="1:5">
      <c r="A2" t="s">
        <v>1739</v>
      </c>
      <c r="B2" t="s">
        <v>1740</v>
      </c>
    </row>
    <row r="3" spans="1:5">
      <c r="A3" t="s">
        <v>1741</v>
      </c>
      <c r="B3" t="s">
        <v>1742</v>
      </c>
      <c r="E3" t="s">
        <v>1743</v>
      </c>
    </row>
    <row r="4" spans="1:5">
      <c r="A4" t="s">
        <v>333</v>
      </c>
      <c r="B4" t="s">
        <v>1742</v>
      </c>
    </row>
    <row r="5" spans="1:5">
      <c r="A5" t="s">
        <v>1744</v>
      </c>
      <c r="B5" t="s">
        <v>1742</v>
      </c>
    </row>
    <row r="6" spans="1:5">
      <c r="A6" t="s">
        <v>1745</v>
      </c>
    </row>
    <row r="7" spans="1:5">
      <c r="A7" t="s">
        <v>1746</v>
      </c>
    </row>
    <row r="8" spans="1:5">
      <c r="A8" t="s">
        <v>1747</v>
      </c>
    </row>
    <row r="9" spans="1:5">
      <c r="A9" t="s">
        <v>1748</v>
      </c>
    </row>
    <row r="10" spans="1:5">
      <c r="A10" t="s">
        <v>1749</v>
      </c>
    </row>
    <row r="11" spans="1:5">
      <c r="A11" t="s">
        <v>1750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I26"/>
  <sheetViews>
    <sheetView topLeftCell="A13" workbookViewId="0">
      <selection activeCell="A24" sqref="A24"/>
    </sheetView>
  </sheetViews>
  <sheetFormatPr defaultRowHeight="14.1"/>
  <cols>
    <col min="1" max="1" width="35.42578125" bestFit="1" customWidth="1"/>
    <col min="2" max="2" width="17.5703125" bestFit="1" customWidth="1"/>
    <col min="3" max="3" width="10.42578125" customWidth="1"/>
  </cols>
  <sheetData>
    <row r="2" spans="1:9" ht="14.45">
      <c r="A2" s="35" t="s">
        <v>1751</v>
      </c>
      <c r="B2" s="35" t="s">
        <v>1752</v>
      </c>
      <c r="C2" s="35" t="s">
        <v>1753</v>
      </c>
    </row>
    <row r="3" spans="1:9" ht="14.45">
      <c r="A3" s="36" t="s">
        <v>1754</v>
      </c>
      <c r="B3" s="37">
        <v>1</v>
      </c>
      <c r="C3" s="38">
        <v>304</v>
      </c>
    </row>
    <row r="4" spans="1:9" ht="14.45">
      <c r="A4" s="36" t="s">
        <v>1755</v>
      </c>
      <c r="B4" s="37">
        <v>1</v>
      </c>
      <c r="C4" s="38">
        <v>304</v>
      </c>
      <c r="I4">
        <v>160</v>
      </c>
    </row>
    <row r="5" spans="1:9" ht="14.45">
      <c r="A5" s="36" t="s">
        <v>1756</v>
      </c>
      <c r="B5" s="37">
        <v>1</v>
      </c>
      <c r="C5" s="38">
        <f>34*8</f>
        <v>272</v>
      </c>
      <c r="I5">
        <f>I4*8</f>
        <v>1280</v>
      </c>
    </row>
    <row r="6" spans="1:9" ht="14.45">
      <c r="A6" s="36" t="s">
        <v>1757</v>
      </c>
      <c r="B6" s="37">
        <v>1</v>
      </c>
      <c r="C6" s="38">
        <f>42*2</f>
        <v>84</v>
      </c>
      <c r="G6">
        <f>64/2</f>
        <v>32</v>
      </c>
    </row>
    <row r="7" spans="1:9" ht="14.45">
      <c r="A7" s="36" t="s">
        <v>1758</v>
      </c>
      <c r="B7" s="37">
        <v>1</v>
      </c>
      <c r="C7" s="38">
        <f>42*2.5</f>
        <v>105</v>
      </c>
    </row>
    <row r="8" spans="1:9" ht="14.45">
      <c r="A8" s="36" t="s">
        <v>1759</v>
      </c>
      <c r="B8" s="37">
        <v>1</v>
      </c>
      <c r="C8" s="38">
        <f>10*7.5</f>
        <v>75</v>
      </c>
    </row>
    <row r="9" spans="1:9" ht="14.45">
      <c r="A9" s="36" t="s">
        <v>1760</v>
      </c>
      <c r="B9" s="37">
        <v>1</v>
      </c>
      <c r="C9" s="38">
        <f>17*8</f>
        <v>136</v>
      </c>
    </row>
    <row r="10" spans="1:9" ht="14.45">
      <c r="A10" s="112" t="s">
        <v>1761</v>
      </c>
      <c r="B10" s="113"/>
      <c r="C10" s="39">
        <f>SUM(C3:C9)</f>
        <v>1280</v>
      </c>
      <c r="I10">
        <f>(C10-I5)/8</f>
        <v>0</v>
      </c>
    </row>
    <row r="12" spans="1:9" ht="14.45">
      <c r="A12" s="114" t="s">
        <v>1762</v>
      </c>
      <c r="B12" s="114"/>
      <c r="C12" s="114"/>
    </row>
    <row r="16" spans="1:9" ht="14.45">
      <c r="A16" s="35" t="s">
        <v>1751</v>
      </c>
      <c r="B16" s="35" t="s">
        <v>1752</v>
      </c>
      <c r="C16" s="35" t="s">
        <v>1753</v>
      </c>
      <c r="I16">
        <v>82</v>
      </c>
    </row>
    <row r="17" spans="1:9" ht="14.45">
      <c r="A17" s="36" t="s">
        <v>1754</v>
      </c>
      <c r="B17" s="37">
        <v>1</v>
      </c>
      <c r="C17" s="38">
        <f>30*7</f>
        <v>210</v>
      </c>
      <c r="I17">
        <f>I16*8</f>
        <v>656</v>
      </c>
    </row>
    <row r="18" spans="1:9" ht="14.45">
      <c r="A18" s="36" t="s">
        <v>1755</v>
      </c>
      <c r="B18" s="37">
        <v>1</v>
      </c>
      <c r="C18" s="38">
        <f>30*7</f>
        <v>210</v>
      </c>
    </row>
    <row r="19" spans="1:9" ht="14.45">
      <c r="A19" s="36" t="s">
        <v>1756</v>
      </c>
      <c r="B19" s="37">
        <v>1</v>
      </c>
      <c r="C19" s="38">
        <f>15*8</f>
        <v>120</v>
      </c>
    </row>
    <row r="20" spans="1:9" ht="14.45">
      <c r="A20" s="36" t="s">
        <v>1757</v>
      </c>
      <c r="B20" s="37">
        <v>1</v>
      </c>
      <c r="C20" s="38">
        <f>30*1.4</f>
        <v>42</v>
      </c>
    </row>
    <row r="21" spans="1:9" ht="14.45">
      <c r="A21" s="36" t="s">
        <v>1758</v>
      </c>
      <c r="B21" s="37">
        <v>1</v>
      </c>
      <c r="C21" s="38">
        <f>30*2.5</f>
        <v>75</v>
      </c>
    </row>
    <row r="22" spans="1:9" ht="14.45">
      <c r="A22" s="112" t="s">
        <v>1761</v>
      </c>
      <c r="B22" s="113"/>
      <c r="C22" s="39">
        <f>SUM(C17:C21)</f>
        <v>657</v>
      </c>
    </row>
    <row r="23" spans="1:9" ht="14.45">
      <c r="A23" s="51"/>
      <c r="B23" s="51"/>
      <c r="C23" s="52"/>
    </row>
    <row r="24" spans="1:9" ht="14.45">
      <c r="A24" s="114" t="s">
        <v>1763</v>
      </c>
      <c r="B24" s="114"/>
      <c r="C24" s="114"/>
    </row>
    <row r="26" spans="1:9" ht="14.45">
      <c r="A26" s="114" t="s">
        <v>1762</v>
      </c>
      <c r="B26" s="114"/>
      <c r="C26" s="114"/>
    </row>
  </sheetData>
  <mergeCells count="5">
    <mergeCell ref="A10:B10"/>
    <mergeCell ref="A12:C12"/>
    <mergeCell ref="A22:B22"/>
    <mergeCell ref="A26:C26"/>
    <mergeCell ref="A24:C2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0"/>
  <sheetViews>
    <sheetView workbookViewId="0">
      <pane ySplit="1" topLeftCell="E30" activePane="bottomLeft" state="frozen"/>
      <selection pane="bottomLeft" activeCell="E30" sqref="E30"/>
    </sheetView>
  </sheetViews>
  <sheetFormatPr defaultRowHeight="14.1"/>
  <cols>
    <col min="1" max="1" width="23.85546875" bestFit="1" customWidth="1"/>
    <col min="2" max="2" width="14.85546875" bestFit="1" customWidth="1"/>
    <col min="3" max="3" width="43.42578125" customWidth="1"/>
  </cols>
  <sheetData>
    <row r="1" spans="1:8">
      <c r="A1" s="45" t="s">
        <v>253</v>
      </c>
      <c r="B1" s="45" t="s">
        <v>1</v>
      </c>
      <c r="C1" s="45" t="s">
        <v>2</v>
      </c>
      <c r="D1" s="50" t="s">
        <v>1764</v>
      </c>
      <c r="E1" s="50" t="s">
        <v>255</v>
      </c>
      <c r="F1" s="50" t="s">
        <v>1765</v>
      </c>
      <c r="G1" s="50" t="s">
        <v>257</v>
      </c>
      <c r="H1" s="50" t="s">
        <v>1766</v>
      </c>
    </row>
    <row r="2" spans="1:8" ht="27.95">
      <c r="A2" s="47" t="s">
        <v>1767</v>
      </c>
      <c r="B2" s="47" t="s">
        <v>1768</v>
      </c>
      <c r="C2" s="49" t="s">
        <v>1769</v>
      </c>
      <c r="D2" s="47">
        <v>1</v>
      </c>
      <c r="E2" s="47">
        <v>1</v>
      </c>
      <c r="F2" s="47">
        <v>0.5</v>
      </c>
      <c r="G2" s="47">
        <v>0.5</v>
      </c>
      <c r="H2" s="47">
        <f>SUM(D2:G2)</f>
        <v>3</v>
      </c>
    </row>
    <row r="3" spans="1:8" ht="84">
      <c r="A3" s="47" t="s">
        <v>1770</v>
      </c>
      <c r="B3" s="47" t="s">
        <v>1768</v>
      </c>
      <c r="C3" s="49" t="s">
        <v>1771</v>
      </c>
      <c r="D3" s="47">
        <v>1</v>
      </c>
      <c r="E3" s="47">
        <v>4</v>
      </c>
      <c r="F3" s="47">
        <v>1</v>
      </c>
      <c r="G3" s="47">
        <v>3</v>
      </c>
      <c r="H3" s="47">
        <f>SUM(D3:G3)</f>
        <v>9</v>
      </c>
    </row>
    <row r="4" spans="1:8">
      <c r="A4" s="47"/>
      <c r="B4" s="47"/>
      <c r="C4" s="47" t="s">
        <v>1772</v>
      </c>
      <c r="D4" s="47"/>
      <c r="E4" s="47"/>
      <c r="F4" s="47"/>
      <c r="G4" s="47"/>
      <c r="H4" s="47"/>
    </row>
    <row r="5" spans="1:8">
      <c r="A5" s="47"/>
      <c r="B5" s="47"/>
      <c r="C5" s="47" t="s">
        <v>1773</v>
      </c>
      <c r="D5" s="47"/>
      <c r="E5" s="47"/>
      <c r="F5" s="47"/>
      <c r="G5" s="47"/>
      <c r="H5" s="47"/>
    </row>
    <row r="6" spans="1:8">
      <c r="A6" s="47"/>
      <c r="B6" s="47"/>
      <c r="C6" s="47" t="s">
        <v>1774</v>
      </c>
      <c r="D6" s="47"/>
      <c r="E6" s="47"/>
      <c r="F6" s="47"/>
      <c r="G6" s="47"/>
      <c r="H6" s="47"/>
    </row>
    <row r="7" spans="1:8" ht="98.1">
      <c r="A7" s="47" t="s">
        <v>1775</v>
      </c>
      <c r="B7" s="47" t="s">
        <v>1768</v>
      </c>
      <c r="C7" s="49" t="s">
        <v>1776</v>
      </c>
      <c r="D7" s="47">
        <v>1</v>
      </c>
      <c r="E7" s="47">
        <v>5</v>
      </c>
      <c r="F7" s="47">
        <v>2</v>
      </c>
      <c r="G7" s="47">
        <f>(D7+E7)*0.5</f>
        <v>3</v>
      </c>
      <c r="H7" s="47">
        <f>SUM(D7:G7)</f>
        <v>11</v>
      </c>
    </row>
    <row r="8" spans="1:8">
      <c r="A8" s="47"/>
      <c r="B8" s="47"/>
      <c r="C8" s="47" t="s">
        <v>1777</v>
      </c>
      <c r="D8" s="47"/>
      <c r="E8" s="47"/>
      <c r="F8" s="47"/>
      <c r="G8" s="47"/>
      <c r="H8" s="47"/>
    </row>
    <row r="9" spans="1:8" ht="56.1">
      <c r="A9" s="47"/>
      <c r="B9" s="47"/>
      <c r="C9" s="49" t="s">
        <v>1778</v>
      </c>
      <c r="D9" s="47"/>
      <c r="E9" s="47"/>
      <c r="F9" s="47"/>
      <c r="G9" s="47"/>
      <c r="H9" s="47"/>
    </row>
    <row r="10" spans="1:8">
      <c r="A10" s="47"/>
      <c r="B10" s="47"/>
      <c r="C10" s="49" t="s">
        <v>1779</v>
      </c>
      <c r="D10" s="47"/>
      <c r="E10" s="47"/>
      <c r="F10" s="47"/>
      <c r="G10" s="47"/>
      <c r="H10" s="47"/>
    </row>
    <row r="11" spans="1:8" ht="69.95">
      <c r="A11" s="47" t="s">
        <v>1780</v>
      </c>
      <c r="B11" s="47" t="s">
        <v>1768</v>
      </c>
      <c r="C11" s="49" t="s">
        <v>1781</v>
      </c>
      <c r="D11" s="47">
        <v>0.5</v>
      </c>
      <c r="E11" s="47">
        <v>1</v>
      </c>
      <c r="F11" s="47">
        <v>0.5</v>
      </c>
      <c r="G11" s="47">
        <v>0.5</v>
      </c>
      <c r="H11" s="47">
        <f>SUM(D11:G11)</f>
        <v>2.5</v>
      </c>
    </row>
    <row r="12" spans="1:8" ht="98.1">
      <c r="A12" s="47" t="s">
        <v>1782</v>
      </c>
      <c r="B12" s="47" t="s">
        <v>8</v>
      </c>
      <c r="C12" s="49" t="s">
        <v>1783</v>
      </c>
      <c r="D12" s="47">
        <v>4</v>
      </c>
      <c r="E12" s="47">
        <v>2</v>
      </c>
      <c r="F12" s="47">
        <v>2</v>
      </c>
      <c r="G12" s="47">
        <f>(D12+E12)*0.5</f>
        <v>3</v>
      </c>
      <c r="H12" s="47">
        <f>SUM(D12:G12)</f>
        <v>11</v>
      </c>
    </row>
    <row r="13" spans="1:8" ht="56.1">
      <c r="A13" s="47"/>
      <c r="B13" s="47"/>
      <c r="C13" s="49" t="s">
        <v>1784</v>
      </c>
      <c r="D13" s="47"/>
      <c r="E13" s="47"/>
      <c r="F13" s="47"/>
      <c r="G13" s="47"/>
      <c r="H13" s="47"/>
    </row>
    <row r="14" spans="1:8">
      <c r="A14" s="47" t="s">
        <v>1785</v>
      </c>
      <c r="B14" s="47" t="s">
        <v>8</v>
      </c>
      <c r="C14" s="49" t="s">
        <v>1786</v>
      </c>
      <c r="D14" s="47">
        <v>4</v>
      </c>
      <c r="E14" s="47">
        <v>1</v>
      </c>
      <c r="F14" s="47">
        <v>2</v>
      </c>
      <c r="G14" s="47">
        <v>3</v>
      </c>
      <c r="H14" s="47">
        <f>SUM(D14:G14)</f>
        <v>10</v>
      </c>
    </row>
    <row r="15" spans="1:8" ht="126">
      <c r="A15" s="47"/>
      <c r="B15" s="47"/>
      <c r="C15" s="49" t="s">
        <v>1787</v>
      </c>
      <c r="D15" s="47"/>
      <c r="E15" s="47"/>
      <c r="F15" s="47"/>
      <c r="G15" s="47"/>
      <c r="H15" s="47"/>
    </row>
    <row r="16" spans="1:8">
      <c r="A16" s="47"/>
      <c r="B16" s="47"/>
      <c r="C16" s="47" t="s">
        <v>1788</v>
      </c>
      <c r="D16" s="47"/>
      <c r="E16" s="47"/>
      <c r="F16" s="47"/>
      <c r="G16" s="47"/>
      <c r="H16" s="47"/>
    </row>
    <row r="17" spans="1:8" ht="27.95">
      <c r="A17" s="47"/>
      <c r="B17" s="47"/>
      <c r="C17" s="49" t="s">
        <v>1789</v>
      </c>
      <c r="D17" s="47"/>
      <c r="E17" s="47"/>
      <c r="F17" s="47"/>
      <c r="G17" s="47"/>
      <c r="H17" s="47"/>
    </row>
    <row r="18" spans="1:8">
      <c r="A18" s="47"/>
      <c r="B18" s="47"/>
      <c r="C18" s="47" t="s">
        <v>1790</v>
      </c>
      <c r="D18" s="47"/>
      <c r="E18" s="47"/>
      <c r="F18" s="47"/>
      <c r="G18" s="47"/>
      <c r="H18" s="47"/>
    </row>
    <row r="19" spans="1:8">
      <c r="A19" s="47" t="s">
        <v>1791</v>
      </c>
      <c r="B19" s="47" t="s">
        <v>8</v>
      </c>
      <c r="C19" s="47" t="s">
        <v>1792</v>
      </c>
      <c r="D19" s="47">
        <v>3</v>
      </c>
      <c r="E19" s="47">
        <v>1</v>
      </c>
      <c r="F19" s="47">
        <v>1</v>
      </c>
      <c r="G19" s="47">
        <f>(D19+E19)*0.5</f>
        <v>2</v>
      </c>
      <c r="H19" s="47">
        <f>SUM(D19:G19)</f>
        <v>7</v>
      </c>
    </row>
    <row r="20" spans="1:8">
      <c r="A20" s="47"/>
      <c r="B20" s="47"/>
      <c r="C20" s="47" t="s">
        <v>381</v>
      </c>
      <c r="D20" s="47"/>
      <c r="E20" s="47"/>
      <c r="F20" s="47"/>
      <c r="G20" s="47"/>
      <c r="H20" s="47"/>
    </row>
    <row r="21" spans="1:8" ht="27.95">
      <c r="A21" s="47"/>
      <c r="B21" s="47"/>
      <c r="C21" s="49" t="s">
        <v>1793</v>
      </c>
      <c r="D21" s="47"/>
      <c r="E21" s="47"/>
      <c r="F21" s="47"/>
      <c r="G21" s="47"/>
      <c r="H21" s="47"/>
    </row>
    <row r="22" spans="1:8">
      <c r="A22" s="47" t="s">
        <v>312</v>
      </c>
      <c r="B22" s="47"/>
      <c r="C22" s="47" t="s">
        <v>313</v>
      </c>
      <c r="D22" s="47">
        <v>3</v>
      </c>
      <c r="E22" s="47">
        <v>2</v>
      </c>
      <c r="F22" s="47">
        <v>2</v>
      </c>
      <c r="G22" s="47">
        <v>3</v>
      </c>
      <c r="H22" s="47">
        <f>SUM(D22:G22)</f>
        <v>10</v>
      </c>
    </row>
    <row r="23" spans="1:8">
      <c r="A23" s="47"/>
      <c r="B23" s="47"/>
      <c r="C23" s="47" t="s">
        <v>315</v>
      </c>
      <c r="D23" s="47"/>
      <c r="E23" s="47"/>
      <c r="F23" s="47"/>
      <c r="G23" s="47"/>
      <c r="H23" s="47"/>
    </row>
    <row r="24" spans="1:8" ht="42">
      <c r="A24" s="47" t="s">
        <v>1780</v>
      </c>
      <c r="B24" s="47" t="s">
        <v>8</v>
      </c>
      <c r="C24" s="49" t="s">
        <v>1794</v>
      </c>
      <c r="D24" s="47">
        <v>2</v>
      </c>
      <c r="E24" s="47">
        <v>0.5</v>
      </c>
      <c r="F24" s="47">
        <v>0.5</v>
      </c>
      <c r="G24" s="47">
        <v>1</v>
      </c>
      <c r="H24" s="47">
        <f>SUM(D24:G24)</f>
        <v>4</v>
      </c>
    </row>
    <row r="25" spans="1:8">
      <c r="A25" s="47"/>
      <c r="B25" s="47"/>
      <c r="C25" s="47" t="s">
        <v>1795</v>
      </c>
      <c r="D25" s="47"/>
      <c r="E25" s="47"/>
      <c r="F25" s="47"/>
      <c r="G25" s="47"/>
      <c r="H25" s="47"/>
    </row>
    <row r="26" spans="1:8">
      <c r="A26" s="47" t="s">
        <v>1796</v>
      </c>
      <c r="B26" s="47" t="s">
        <v>874</v>
      </c>
      <c r="C26" s="47" t="s">
        <v>1797</v>
      </c>
      <c r="D26" s="47"/>
      <c r="E26" s="47"/>
      <c r="F26" s="47">
        <v>2</v>
      </c>
      <c r="G26" s="47">
        <v>1</v>
      </c>
      <c r="H26" s="47">
        <f>SUM(D26:G26)</f>
        <v>3</v>
      </c>
    </row>
    <row r="27" spans="1:8" ht="111.95">
      <c r="A27" s="47" t="s">
        <v>1798</v>
      </c>
      <c r="B27" s="47" t="s">
        <v>874</v>
      </c>
      <c r="C27" s="49" t="s">
        <v>1799</v>
      </c>
      <c r="D27" s="47">
        <v>3</v>
      </c>
      <c r="E27" s="47">
        <v>3</v>
      </c>
      <c r="F27" s="47">
        <v>2</v>
      </c>
      <c r="G27" s="47">
        <v>3</v>
      </c>
      <c r="H27" s="47">
        <f>SUM(D27:G27)</f>
        <v>11</v>
      </c>
    </row>
    <row r="28" spans="1:8" ht="14.45">
      <c r="D28" s="114" t="s">
        <v>353</v>
      </c>
      <c r="E28" s="114"/>
      <c r="F28" s="114"/>
      <c r="G28" s="114"/>
      <c r="H28" s="48">
        <f>SUM(H2:H27)</f>
        <v>81.5</v>
      </c>
    </row>
    <row r="29" spans="1:8" ht="14.45" thickBot="1">
      <c r="D29" s="46"/>
      <c r="E29" s="46"/>
      <c r="F29" s="46"/>
      <c r="G29" s="46"/>
      <c r="H29" s="46"/>
    </row>
    <row r="30" spans="1:8" ht="80.45" customHeight="1" thickBot="1">
      <c r="A30" s="115" t="s">
        <v>1800</v>
      </c>
      <c r="B30" s="116"/>
      <c r="C30" s="116"/>
      <c r="D30" s="46"/>
      <c r="E30" s="46"/>
      <c r="F30" s="46"/>
      <c r="G30" s="46"/>
      <c r="H30" s="46"/>
    </row>
  </sheetData>
  <mergeCells count="2">
    <mergeCell ref="A30:C30"/>
    <mergeCell ref="D28:G28"/>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56"/>
  <sheetViews>
    <sheetView workbookViewId="0">
      <pane xSplit="2" topLeftCell="C1" activePane="topRight" state="frozen"/>
      <selection pane="topRight" sqref="A1:J1048576"/>
    </sheetView>
  </sheetViews>
  <sheetFormatPr defaultColWidth="9.140625" defaultRowHeight="15" customHeight="1"/>
  <cols>
    <col min="1" max="1" width="48.28515625" bestFit="1" customWidth="1"/>
    <col min="2" max="2" width="24.140625" bestFit="1" customWidth="1"/>
    <col min="3" max="3" width="72.28515625" style="1" bestFit="1" customWidth="1"/>
    <col min="4" max="4" width="14.7109375" bestFit="1" customWidth="1"/>
    <col min="5" max="5" width="12.7109375" bestFit="1" customWidth="1"/>
    <col min="6" max="6" width="15" customWidth="1"/>
    <col min="7" max="7" width="16.85546875" bestFit="1" customWidth="1"/>
    <col min="8" max="8" width="6.85546875" bestFit="1" customWidth="1"/>
    <col min="9" max="9" width="18.140625" bestFit="1" customWidth="1"/>
    <col min="10" max="10" width="13.28515625" style="38" bestFit="1" customWidth="1"/>
    <col min="11" max="11" width="9.140625" bestFit="1" customWidth="1"/>
  </cols>
  <sheetData>
    <row r="1" spans="1:10">
      <c r="A1" s="58"/>
      <c r="B1" s="58"/>
      <c r="C1" s="58"/>
      <c r="D1" s="59"/>
      <c r="E1" s="59"/>
      <c r="F1" s="59"/>
      <c r="G1" s="59"/>
      <c r="H1" s="59"/>
      <c r="I1" s="59"/>
      <c r="J1" s="60"/>
    </row>
    <row r="2" spans="1:10">
      <c r="A2" s="61"/>
      <c r="B2" s="61"/>
      <c r="C2" s="61"/>
      <c r="D2" s="62"/>
      <c r="E2" s="62"/>
      <c r="F2" s="62"/>
      <c r="G2" s="62"/>
      <c r="H2" s="62"/>
      <c r="I2" s="62"/>
      <c r="J2" s="63"/>
    </row>
    <row r="3" spans="1:10" ht="15.75">
      <c r="A3" s="64"/>
      <c r="B3" s="64"/>
      <c r="C3" s="64"/>
      <c r="D3" s="65"/>
      <c r="E3" s="65"/>
      <c r="F3" s="65"/>
      <c r="G3" s="65"/>
      <c r="H3" s="65"/>
      <c r="I3" s="65"/>
      <c r="J3" s="66"/>
    </row>
    <row r="4" spans="1:10" ht="15.75">
      <c r="A4" s="67"/>
      <c r="B4" s="67"/>
      <c r="C4" s="67"/>
      <c r="D4" s="68"/>
      <c r="E4" s="68"/>
      <c r="F4" s="68"/>
      <c r="G4" s="68"/>
      <c r="H4" s="68"/>
      <c r="I4" s="68"/>
      <c r="J4" s="63"/>
    </row>
    <row r="5" spans="1:10" ht="15.75">
      <c r="A5" s="64"/>
      <c r="B5" s="64"/>
      <c r="C5" s="64"/>
      <c r="D5" s="65"/>
      <c r="E5" s="65"/>
      <c r="F5" s="65"/>
      <c r="G5" s="65"/>
      <c r="H5" s="65"/>
      <c r="I5" s="65"/>
      <c r="J5" s="66"/>
    </row>
    <row r="6" spans="1:10" ht="15.75">
      <c r="A6" s="67"/>
      <c r="B6" s="67"/>
      <c r="C6" s="67"/>
      <c r="D6" s="68"/>
      <c r="E6" s="68"/>
      <c r="F6" s="68"/>
      <c r="G6" s="68"/>
      <c r="H6" s="68"/>
      <c r="I6" s="68"/>
      <c r="J6" s="63"/>
    </row>
    <row r="7" spans="1:10" ht="15.75">
      <c r="A7" s="64"/>
      <c r="B7" s="64"/>
      <c r="C7" s="64"/>
      <c r="D7" s="65"/>
      <c r="E7" s="65"/>
      <c r="F7" s="65"/>
      <c r="G7" s="65"/>
      <c r="H7" s="65"/>
      <c r="I7" s="65"/>
      <c r="J7" s="66"/>
    </row>
    <row r="8" spans="1:10" ht="15.75">
      <c r="A8" s="67"/>
      <c r="B8" s="67"/>
      <c r="C8" s="67"/>
      <c r="D8" s="68"/>
      <c r="E8" s="68"/>
      <c r="F8" s="68"/>
      <c r="G8" s="68"/>
      <c r="H8" s="68"/>
      <c r="I8" s="68"/>
      <c r="J8" s="63"/>
    </row>
    <row r="9" spans="1:10" ht="15.75">
      <c r="A9" s="64"/>
      <c r="B9" s="64"/>
      <c r="C9" s="64"/>
      <c r="D9" s="65"/>
      <c r="E9" s="65"/>
      <c r="F9" s="65"/>
      <c r="G9" s="65"/>
      <c r="H9" s="65"/>
      <c r="I9" s="65"/>
      <c r="J9" s="66"/>
    </row>
    <row r="10" spans="1:10">
      <c r="A10" s="67"/>
      <c r="B10" s="67"/>
      <c r="C10" s="67"/>
      <c r="D10" s="62"/>
      <c r="E10" s="62"/>
      <c r="F10" s="62"/>
      <c r="G10" s="62"/>
      <c r="H10" s="62"/>
      <c r="I10" s="62"/>
      <c r="J10" s="63"/>
    </row>
    <row r="11" spans="1:10" ht="15.75">
      <c r="A11" s="64"/>
      <c r="B11" s="64"/>
      <c r="C11" s="64"/>
      <c r="D11" s="65"/>
      <c r="E11" s="65"/>
      <c r="F11" s="65"/>
      <c r="G11" s="65"/>
      <c r="H11" s="65"/>
      <c r="I11" s="65"/>
      <c r="J11" s="66"/>
    </row>
    <row r="12" spans="1:10" ht="15.75">
      <c r="A12" s="67"/>
      <c r="B12" s="67"/>
      <c r="C12" s="67"/>
      <c r="D12" s="68"/>
      <c r="E12" s="68"/>
      <c r="F12" s="68"/>
      <c r="G12" s="68"/>
      <c r="H12" s="68"/>
      <c r="I12" s="68"/>
      <c r="J12" s="63"/>
    </row>
    <row r="13" spans="1:10" ht="15.75">
      <c r="A13" s="64"/>
      <c r="B13" s="64"/>
      <c r="C13" s="64"/>
      <c r="D13" s="65"/>
      <c r="E13" s="65"/>
      <c r="F13" s="65"/>
      <c r="G13" s="65"/>
      <c r="H13" s="65"/>
      <c r="I13" s="65"/>
      <c r="J13" s="66"/>
    </row>
    <row r="14" spans="1:10" ht="15.75">
      <c r="A14" s="67"/>
      <c r="B14" s="67"/>
      <c r="C14" s="67"/>
      <c r="D14" s="68"/>
      <c r="E14" s="68"/>
      <c r="F14" s="68"/>
      <c r="G14" s="68"/>
      <c r="H14" s="68"/>
      <c r="I14" s="68"/>
      <c r="J14" s="63"/>
    </row>
    <row r="15" spans="1:10" ht="15.75">
      <c r="A15" s="64"/>
      <c r="B15" s="64"/>
      <c r="C15" s="64"/>
      <c r="D15" s="65"/>
      <c r="E15" s="65"/>
      <c r="F15" s="65"/>
      <c r="G15" s="65"/>
      <c r="H15" s="65"/>
      <c r="I15" s="65"/>
      <c r="J15" s="66"/>
    </row>
    <row r="16" spans="1:10" ht="15.75">
      <c r="A16" s="67"/>
      <c r="B16" s="67"/>
      <c r="C16" s="67"/>
      <c r="D16" s="68"/>
      <c r="E16" s="68"/>
      <c r="F16" s="68"/>
      <c r="G16" s="68"/>
      <c r="H16" s="68"/>
      <c r="I16" s="68"/>
      <c r="J16" s="63"/>
    </row>
    <row r="17" spans="1:10" ht="15.75">
      <c r="A17" s="64"/>
      <c r="B17" s="64"/>
      <c r="C17" s="64"/>
      <c r="D17" s="65"/>
      <c r="E17" s="65"/>
      <c r="F17" s="65"/>
      <c r="G17" s="65"/>
      <c r="H17" s="65"/>
      <c r="I17" s="65"/>
      <c r="J17" s="66"/>
    </row>
    <row r="18" spans="1:10" ht="15.75">
      <c r="A18" s="67"/>
      <c r="B18" s="67"/>
      <c r="C18" s="67"/>
      <c r="D18" s="68"/>
      <c r="E18" s="68"/>
      <c r="F18" s="68"/>
      <c r="G18" s="68"/>
      <c r="H18" s="68"/>
      <c r="I18" s="68"/>
      <c r="J18" s="63"/>
    </row>
    <row r="19" spans="1:10" ht="15.75">
      <c r="A19" s="64"/>
      <c r="B19" s="64"/>
      <c r="C19" s="64"/>
      <c r="D19" s="65"/>
      <c r="E19" s="65"/>
      <c r="F19" s="65"/>
      <c r="G19" s="65"/>
      <c r="H19" s="65"/>
      <c r="I19" s="65"/>
      <c r="J19" s="66"/>
    </row>
    <row r="20" spans="1:10" ht="15.75">
      <c r="A20" s="67"/>
      <c r="B20" s="67"/>
      <c r="C20" s="67"/>
      <c r="D20" s="68"/>
      <c r="E20" s="68"/>
      <c r="F20" s="68"/>
      <c r="G20" s="68"/>
      <c r="H20" s="68"/>
      <c r="I20" s="68"/>
      <c r="J20" s="63"/>
    </row>
    <row r="21" spans="1:10" ht="15.75">
      <c r="A21" s="64"/>
      <c r="B21" s="64"/>
      <c r="C21" s="64"/>
      <c r="D21" s="65"/>
      <c r="E21" s="65"/>
      <c r="F21" s="65"/>
      <c r="G21" s="65"/>
      <c r="H21" s="65"/>
      <c r="I21" s="65"/>
      <c r="J21" s="66"/>
    </row>
    <row r="22" spans="1:10" ht="15.75">
      <c r="A22" s="67"/>
      <c r="B22" s="67"/>
      <c r="C22" s="67"/>
      <c r="D22" s="68"/>
      <c r="E22" s="68"/>
      <c r="F22" s="68"/>
      <c r="G22" s="68"/>
      <c r="H22" s="68"/>
      <c r="I22" s="68"/>
      <c r="J22" s="63"/>
    </row>
    <row r="23" spans="1:10" ht="15.75">
      <c r="A23" s="64"/>
      <c r="B23" s="64"/>
      <c r="C23" s="64"/>
      <c r="D23" s="65"/>
      <c r="E23" s="65"/>
      <c r="F23" s="65"/>
      <c r="G23" s="65"/>
      <c r="H23" s="65"/>
      <c r="I23" s="65"/>
      <c r="J23" s="66"/>
    </row>
    <row r="24" spans="1:10" ht="15.75">
      <c r="A24" s="67"/>
      <c r="B24" s="67"/>
      <c r="C24" s="67"/>
      <c r="D24" s="68"/>
      <c r="E24" s="68"/>
      <c r="F24" s="68"/>
      <c r="G24" s="68"/>
      <c r="H24" s="68"/>
      <c r="I24" s="68"/>
      <c r="J24" s="63"/>
    </row>
    <row r="25" spans="1:10" ht="15.75">
      <c r="A25" s="64"/>
      <c r="B25" s="64"/>
      <c r="C25" s="64"/>
      <c r="D25" s="65"/>
      <c r="E25" s="65"/>
      <c r="F25" s="65"/>
      <c r="G25" s="65"/>
      <c r="H25" s="65"/>
      <c r="I25" s="65"/>
      <c r="J25" s="66"/>
    </row>
    <row r="26" spans="1:10" ht="15.75">
      <c r="A26" s="67"/>
      <c r="B26" s="67"/>
      <c r="C26" s="67"/>
      <c r="D26" s="68"/>
      <c r="E26" s="68"/>
      <c r="F26" s="68"/>
      <c r="G26" s="68"/>
      <c r="H26" s="68"/>
      <c r="I26" s="68"/>
      <c r="J26" s="63"/>
    </row>
    <row r="27" spans="1:10" ht="15.75">
      <c r="A27" s="64"/>
      <c r="B27" s="64"/>
      <c r="C27" s="64"/>
      <c r="D27" s="65"/>
      <c r="E27" s="65"/>
      <c r="F27" s="65"/>
      <c r="G27" s="65"/>
      <c r="H27" s="65"/>
      <c r="I27" s="65"/>
      <c r="J27" s="66"/>
    </row>
    <row r="28" spans="1:10" ht="15.75">
      <c r="A28" s="67"/>
      <c r="B28" s="67"/>
      <c r="C28" s="67"/>
      <c r="D28" s="68"/>
      <c r="E28" s="68"/>
      <c r="F28" s="68"/>
      <c r="G28" s="68"/>
      <c r="H28" s="68"/>
      <c r="I28" s="68"/>
      <c r="J28" s="63"/>
    </row>
    <row r="29" spans="1:10" ht="15.75">
      <c r="A29" s="64"/>
      <c r="B29" s="64"/>
      <c r="C29" s="64"/>
      <c r="D29" s="65"/>
      <c r="E29" s="65"/>
      <c r="F29" s="65"/>
      <c r="G29" s="65"/>
      <c r="H29" s="65"/>
      <c r="I29" s="65"/>
      <c r="J29" s="66"/>
    </row>
    <row r="30" spans="1:10" ht="15.75">
      <c r="A30" s="67"/>
      <c r="B30" s="67"/>
      <c r="C30" s="67"/>
      <c r="D30" s="68"/>
      <c r="E30" s="68"/>
      <c r="F30" s="68"/>
      <c r="G30" s="68"/>
      <c r="H30" s="68"/>
      <c r="I30" s="68"/>
      <c r="J30" s="63"/>
    </row>
    <row r="31" spans="1:10">
      <c r="A31" s="64"/>
      <c r="B31" s="64"/>
      <c r="C31" s="64"/>
      <c r="D31" s="69"/>
      <c r="E31" s="69"/>
      <c r="F31" s="69"/>
      <c r="G31" s="69"/>
      <c r="H31" s="69"/>
      <c r="I31" s="69"/>
      <c r="J31" s="66"/>
    </row>
    <row r="32" spans="1:10" ht="15.75">
      <c r="A32" s="67"/>
      <c r="B32" s="67"/>
      <c r="C32" s="67"/>
      <c r="D32" s="68"/>
      <c r="E32" s="68"/>
      <c r="F32" s="68"/>
      <c r="G32" s="68"/>
      <c r="H32" s="68"/>
      <c r="I32" s="68"/>
      <c r="J32" s="63"/>
    </row>
    <row r="33" spans="1:10" ht="15.75">
      <c r="A33" s="64"/>
      <c r="B33" s="64"/>
      <c r="C33" s="64"/>
      <c r="D33" s="65"/>
      <c r="E33" s="65"/>
      <c r="F33" s="65"/>
      <c r="G33" s="65"/>
      <c r="H33" s="65"/>
      <c r="I33" s="65"/>
      <c r="J33" s="66"/>
    </row>
    <row r="34" spans="1:10" ht="15.75">
      <c r="A34" s="67"/>
      <c r="B34" s="67"/>
      <c r="C34" s="67"/>
      <c r="D34" s="68"/>
      <c r="E34" s="68"/>
      <c r="F34" s="68"/>
      <c r="G34" s="68"/>
      <c r="H34" s="68"/>
      <c r="I34" s="68"/>
      <c r="J34" s="63"/>
    </row>
    <row r="35" spans="1:10" ht="15.75">
      <c r="A35" s="64"/>
      <c r="B35" s="64"/>
      <c r="C35" s="64"/>
      <c r="D35" s="65"/>
      <c r="E35" s="65"/>
      <c r="F35" s="65"/>
      <c r="G35" s="65"/>
      <c r="H35" s="65"/>
      <c r="I35" s="65"/>
      <c r="J35" s="66"/>
    </row>
    <row r="36" spans="1:10" ht="15.75">
      <c r="A36" s="67"/>
      <c r="B36" s="67"/>
      <c r="C36" s="67"/>
      <c r="D36" s="68"/>
      <c r="E36" s="68"/>
      <c r="F36" s="68"/>
      <c r="G36" s="68"/>
      <c r="H36" s="68"/>
      <c r="I36" s="68"/>
      <c r="J36" s="63"/>
    </row>
    <row r="37" spans="1:10" ht="15.75">
      <c r="A37" s="64"/>
      <c r="B37" s="64"/>
      <c r="C37" s="64"/>
      <c r="D37" s="65"/>
      <c r="E37" s="65"/>
      <c r="F37" s="65"/>
      <c r="G37" s="65"/>
      <c r="H37" s="65"/>
      <c r="I37" s="65"/>
      <c r="J37" s="66"/>
    </row>
    <row r="38" spans="1:10">
      <c r="A38" s="67"/>
      <c r="B38" s="67"/>
      <c r="C38" s="67"/>
      <c r="D38" s="62"/>
      <c r="E38" s="62"/>
      <c r="F38" s="62"/>
      <c r="G38" s="62"/>
      <c r="H38" s="62"/>
      <c r="I38" s="62"/>
      <c r="J38" s="63"/>
    </row>
    <row r="39" spans="1:10" ht="15.75">
      <c r="A39" s="64"/>
      <c r="B39" s="64"/>
      <c r="C39" s="64"/>
      <c r="D39" s="65"/>
      <c r="E39" s="65"/>
      <c r="F39" s="65"/>
      <c r="G39" s="65"/>
      <c r="H39" s="65"/>
      <c r="I39" s="65"/>
      <c r="J39" s="66"/>
    </row>
    <row r="40" spans="1:10" ht="15.75">
      <c r="A40" s="67"/>
      <c r="B40" s="67"/>
      <c r="C40" s="67"/>
      <c r="D40" s="68"/>
      <c r="E40" s="68"/>
      <c r="F40" s="68"/>
      <c r="G40" s="68"/>
      <c r="H40" s="68"/>
      <c r="I40" s="68"/>
      <c r="J40" s="63"/>
    </row>
    <row r="41" spans="1:10" ht="15.75">
      <c r="A41" s="64"/>
      <c r="B41" s="64"/>
      <c r="C41" s="64"/>
      <c r="D41" s="65"/>
      <c r="E41" s="65"/>
      <c r="F41" s="65"/>
      <c r="G41" s="65"/>
      <c r="H41" s="65"/>
      <c r="I41" s="65"/>
      <c r="J41" s="66"/>
    </row>
    <row r="42" spans="1:10" ht="15.75">
      <c r="A42" s="67"/>
      <c r="B42" s="67"/>
      <c r="C42" s="67"/>
      <c r="D42" s="68"/>
      <c r="E42" s="68"/>
      <c r="F42" s="68"/>
      <c r="G42" s="68"/>
      <c r="H42" s="68"/>
      <c r="I42" s="68"/>
      <c r="J42" s="63"/>
    </row>
    <row r="43" spans="1:10" ht="15.75">
      <c r="A43" s="64"/>
      <c r="B43" s="64"/>
      <c r="C43" s="64"/>
      <c r="D43" s="65"/>
      <c r="E43" s="65"/>
      <c r="F43" s="65"/>
      <c r="G43" s="65"/>
      <c r="H43" s="65"/>
      <c r="I43" s="65"/>
      <c r="J43" s="66"/>
    </row>
    <row r="44" spans="1:10" ht="15.75">
      <c r="A44" s="67"/>
      <c r="B44" s="67"/>
      <c r="C44" s="67"/>
      <c r="D44" s="68"/>
      <c r="E44" s="68"/>
      <c r="F44" s="68"/>
      <c r="G44" s="68"/>
      <c r="H44" s="68"/>
      <c r="I44" s="68"/>
      <c r="J44" s="63"/>
    </row>
    <row r="45" spans="1:10" ht="15.75">
      <c r="A45" s="64"/>
      <c r="B45" s="64"/>
      <c r="C45" s="64"/>
      <c r="D45" s="65"/>
      <c r="E45" s="65"/>
      <c r="F45" s="65"/>
      <c r="G45" s="65"/>
      <c r="H45" s="65"/>
      <c r="I45" s="65"/>
      <c r="J45" s="66"/>
    </row>
    <row r="46" spans="1:10" ht="15.75">
      <c r="A46" s="67"/>
      <c r="B46" s="67"/>
      <c r="C46" s="67"/>
      <c r="D46" s="68"/>
      <c r="E46" s="68"/>
      <c r="F46" s="68"/>
      <c r="G46" s="68"/>
      <c r="H46" s="68"/>
      <c r="I46" s="68"/>
      <c r="J46" s="63"/>
    </row>
    <row r="47" spans="1:10" ht="15.75">
      <c r="A47" s="64"/>
      <c r="B47" s="64"/>
      <c r="C47" s="64"/>
      <c r="D47" s="65"/>
      <c r="E47" s="65"/>
      <c r="F47" s="65"/>
      <c r="G47" s="65"/>
      <c r="H47" s="65"/>
      <c r="I47" s="65"/>
      <c r="J47" s="66"/>
    </row>
    <row r="48" spans="1:10" ht="15.75">
      <c r="A48" s="67"/>
      <c r="B48" s="67"/>
      <c r="C48" s="67"/>
      <c r="D48" s="68"/>
      <c r="E48" s="68"/>
      <c r="F48" s="68"/>
      <c r="G48" s="68"/>
      <c r="H48" s="68"/>
      <c r="I48" s="68"/>
      <c r="J48" s="63"/>
    </row>
    <row r="49" spans="1:10" ht="15.75">
      <c r="A49" s="64"/>
      <c r="B49" s="64"/>
      <c r="C49" s="64"/>
      <c r="D49" s="65"/>
      <c r="E49" s="65"/>
      <c r="F49" s="65"/>
      <c r="G49" s="65"/>
      <c r="H49" s="65"/>
      <c r="I49" s="65"/>
      <c r="J49" s="66"/>
    </row>
    <row r="50" spans="1:10">
      <c r="A50" s="67"/>
      <c r="B50" s="67"/>
      <c r="C50" s="67"/>
      <c r="D50" s="62"/>
      <c r="E50" s="62"/>
      <c r="F50" s="62"/>
      <c r="G50" s="62"/>
      <c r="H50" s="62"/>
      <c r="I50" s="62"/>
      <c r="J50" s="63"/>
    </row>
    <row r="51" spans="1:10" ht="15.75">
      <c r="A51" s="64"/>
      <c r="B51" s="64"/>
      <c r="C51" s="64"/>
      <c r="D51" s="65"/>
      <c r="E51" s="65"/>
      <c r="F51" s="65"/>
      <c r="G51" s="65"/>
      <c r="H51" s="65"/>
      <c r="I51" s="65"/>
      <c r="J51" s="66"/>
    </row>
    <row r="52" spans="1:10">
      <c r="A52" s="67"/>
      <c r="B52" s="67"/>
      <c r="C52" s="67"/>
      <c r="D52" s="62"/>
      <c r="E52" s="62"/>
      <c r="F52" s="62"/>
      <c r="G52" s="62"/>
      <c r="H52" s="62"/>
      <c r="I52" s="62"/>
      <c r="J52" s="63"/>
    </row>
    <row r="53" spans="1:10" ht="15.75">
      <c r="A53" s="64"/>
      <c r="B53" s="64"/>
      <c r="C53" s="64"/>
      <c r="D53" s="65"/>
      <c r="E53" s="65"/>
      <c r="F53" s="65"/>
      <c r="G53" s="65"/>
      <c r="H53" s="65"/>
      <c r="I53" s="65"/>
      <c r="J53" s="66"/>
    </row>
    <row r="54" spans="1:10" ht="15.75">
      <c r="A54" s="67"/>
      <c r="B54" s="67"/>
      <c r="C54" s="67"/>
      <c r="D54" s="68"/>
      <c r="E54" s="68"/>
      <c r="F54" s="68"/>
      <c r="G54" s="68"/>
      <c r="H54" s="68"/>
      <c r="I54" s="68"/>
      <c r="J54" s="63"/>
    </row>
    <row r="55" spans="1:10" ht="15.75">
      <c r="A55" s="64"/>
      <c r="B55" s="64"/>
      <c r="C55" s="64"/>
      <c r="D55" s="65"/>
      <c r="E55" s="65"/>
      <c r="F55" s="65"/>
      <c r="G55" s="65"/>
      <c r="H55" s="65"/>
      <c r="I55" s="65"/>
      <c r="J55" s="66"/>
    </row>
    <row r="56" spans="1:10" ht="15.75">
      <c r="A56" s="67"/>
      <c r="B56" s="67"/>
      <c r="C56" s="67"/>
      <c r="D56" s="68"/>
      <c r="E56" s="68"/>
      <c r="F56" s="68"/>
      <c r="G56" s="68"/>
      <c r="H56" s="68"/>
      <c r="I56" s="68"/>
      <c r="J56" s="63"/>
    </row>
    <row r="57" spans="1:10" ht="15.75">
      <c r="A57" s="64"/>
      <c r="B57" s="64"/>
      <c r="C57" s="64"/>
      <c r="D57" s="65"/>
      <c r="E57" s="65"/>
      <c r="F57" s="65"/>
      <c r="G57" s="65"/>
      <c r="H57" s="65"/>
      <c r="I57" s="65"/>
      <c r="J57" s="66"/>
    </row>
    <row r="58" spans="1:10" ht="15.75">
      <c r="A58" s="67"/>
      <c r="B58" s="67"/>
      <c r="C58" s="67"/>
      <c r="D58" s="68"/>
      <c r="E58" s="68"/>
      <c r="F58" s="68"/>
      <c r="G58" s="68"/>
      <c r="H58" s="68"/>
      <c r="I58" s="68"/>
      <c r="J58" s="63"/>
    </row>
    <row r="59" spans="1:10" ht="15.75">
      <c r="A59" s="64"/>
      <c r="B59" s="64"/>
      <c r="C59" s="64"/>
      <c r="D59" s="65"/>
      <c r="E59" s="65"/>
      <c r="F59" s="65"/>
      <c r="G59" s="65"/>
      <c r="H59" s="65"/>
      <c r="I59" s="65"/>
      <c r="J59" s="66"/>
    </row>
    <row r="60" spans="1:10" ht="15.75">
      <c r="A60" s="67"/>
      <c r="B60" s="67"/>
      <c r="C60" s="67"/>
      <c r="D60" s="68"/>
      <c r="E60" s="68"/>
      <c r="F60" s="68"/>
      <c r="G60" s="68"/>
      <c r="H60" s="68"/>
      <c r="I60" s="68"/>
      <c r="J60" s="63"/>
    </row>
    <row r="61" spans="1:10" ht="15.75">
      <c r="A61" s="64"/>
      <c r="B61" s="64"/>
      <c r="C61" s="64"/>
      <c r="D61" s="65"/>
      <c r="E61" s="65"/>
      <c r="F61" s="65"/>
      <c r="G61" s="65"/>
      <c r="H61" s="65"/>
      <c r="I61" s="65"/>
      <c r="J61" s="66"/>
    </row>
    <row r="62" spans="1:10" ht="15.75">
      <c r="A62" s="67"/>
      <c r="B62" s="67"/>
      <c r="C62" s="67"/>
      <c r="D62" s="68"/>
      <c r="E62" s="68"/>
      <c r="F62" s="68"/>
      <c r="G62" s="68"/>
      <c r="H62" s="68"/>
      <c r="I62" s="68"/>
      <c r="J62" s="63"/>
    </row>
    <row r="63" spans="1:10" ht="15.75">
      <c r="A63" s="64"/>
      <c r="B63" s="64"/>
      <c r="C63" s="64"/>
      <c r="D63" s="65"/>
      <c r="E63" s="65"/>
      <c r="F63" s="65"/>
      <c r="G63" s="65"/>
      <c r="H63" s="65"/>
      <c r="I63" s="65"/>
      <c r="J63" s="66"/>
    </row>
    <row r="64" spans="1:10" ht="15.75">
      <c r="A64" s="67"/>
      <c r="B64" s="67"/>
      <c r="C64" s="67"/>
      <c r="D64" s="68"/>
      <c r="E64" s="68"/>
      <c r="F64" s="68"/>
      <c r="G64" s="68"/>
      <c r="H64" s="68"/>
      <c r="I64" s="68"/>
      <c r="J64" s="63"/>
    </row>
    <row r="65" spans="1:10" ht="15.75">
      <c r="A65" s="64"/>
      <c r="B65" s="64"/>
      <c r="C65" s="64"/>
      <c r="D65" s="65"/>
      <c r="E65" s="65"/>
      <c r="F65" s="65"/>
      <c r="G65" s="65"/>
      <c r="H65" s="65"/>
      <c r="I65" s="65"/>
      <c r="J65" s="66"/>
    </row>
    <row r="66" spans="1:10" ht="15.75">
      <c r="A66" s="67"/>
      <c r="B66" s="67"/>
      <c r="C66" s="67"/>
      <c r="D66" s="68"/>
      <c r="E66" s="68"/>
      <c r="F66" s="68"/>
      <c r="G66" s="68"/>
      <c r="H66" s="68"/>
      <c r="I66" s="68"/>
      <c r="J66" s="63"/>
    </row>
    <row r="67" spans="1:10" ht="15.75">
      <c r="A67" s="64"/>
      <c r="B67" s="64"/>
      <c r="C67" s="64"/>
      <c r="D67" s="65"/>
      <c r="E67" s="65"/>
      <c r="F67" s="65"/>
      <c r="G67" s="65"/>
      <c r="H67" s="65"/>
      <c r="I67" s="65"/>
      <c r="J67" s="66"/>
    </row>
    <row r="68" spans="1:10" ht="15.75">
      <c r="A68" s="67"/>
      <c r="B68" s="67"/>
      <c r="C68" s="67"/>
      <c r="D68" s="68"/>
      <c r="E68" s="68"/>
      <c r="F68" s="68"/>
      <c r="G68" s="68"/>
      <c r="H68" s="68"/>
      <c r="I68" s="68"/>
      <c r="J68" s="63"/>
    </row>
    <row r="69" spans="1:10" ht="15.75">
      <c r="A69" s="64"/>
      <c r="B69" s="64"/>
      <c r="C69" s="64"/>
      <c r="D69" s="65"/>
      <c r="E69" s="65"/>
      <c r="F69" s="65"/>
      <c r="G69" s="65"/>
      <c r="H69" s="65"/>
      <c r="I69" s="65"/>
      <c r="J69" s="66"/>
    </row>
    <row r="70" spans="1:10" ht="15.75">
      <c r="A70" s="67"/>
      <c r="B70" s="67"/>
      <c r="C70" s="67"/>
      <c r="D70" s="68"/>
      <c r="E70" s="68"/>
      <c r="F70" s="68"/>
      <c r="G70" s="68"/>
      <c r="H70" s="68"/>
      <c r="I70" s="68"/>
      <c r="J70" s="63"/>
    </row>
    <row r="71" spans="1:10" ht="15.75">
      <c r="A71" s="64"/>
      <c r="B71" s="64"/>
      <c r="C71" s="64"/>
      <c r="D71" s="65"/>
      <c r="E71" s="65"/>
      <c r="F71" s="65"/>
      <c r="G71" s="65"/>
      <c r="H71" s="65"/>
      <c r="I71" s="65"/>
      <c r="J71" s="66"/>
    </row>
    <row r="72" spans="1:10" ht="15.75">
      <c r="A72" s="67"/>
      <c r="B72" s="67"/>
      <c r="C72" s="67"/>
      <c r="D72" s="68"/>
      <c r="E72" s="68"/>
      <c r="F72" s="68"/>
      <c r="G72" s="68"/>
      <c r="H72" s="68"/>
      <c r="I72" s="68"/>
      <c r="J72" s="63"/>
    </row>
    <row r="73" spans="1:10" ht="15.75">
      <c r="A73" s="64"/>
      <c r="B73" s="64"/>
      <c r="C73" s="64"/>
      <c r="D73" s="65"/>
      <c r="E73" s="65"/>
      <c r="F73" s="65"/>
      <c r="G73" s="65"/>
      <c r="H73" s="65"/>
      <c r="I73" s="65"/>
      <c r="J73" s="66"/>
    </row>
    <row r="74" spans="1:10" ht="15.75">
      <c r="A74" s="67"/>
      <c r="B74" s="67"/>
      <c r="C74" s="67"/>
      <c r="D74" s="68"/>
      <c r="E74" s="68"/>
      <c r="F74" s="68"/>
      <c r="G74" s="68"/>
      <c r="H74" s="68"/>
      <c r="I74" s="68"/>
      <c r="J74" s="63"/>
    </row>
    <row r="75" spans="1:10" ht="15.75">
      <c r="A75" s="64"/>
      <c r="B75" s="64"/>
      <c r="C75" s="64"/>
      <c r="D75" s="65"/>
      <c r="E75" s="65"/>
      <c r="F75" s="65"/>
      <c r="G75" s="65"/>
      <c r="H75" s="65"/>
      <c r="I75" s="65"/>
      <c r="J75" s="66"/>
    </row>
    <row r="76" spans="1:10" ht="15.75">
      <c r="A76" s="67"/>
      <c r="B76" s="67"/>
      <c r="C76" s="67"/>
      <c r="D76" s="68"/>
      <c r="E76" s="68"/>
      <c r="F76" s="68"/>
      <c r="G76" s="68"/>
      <c r="H76" s="68"/>
      <c r="I76" s="68"/>
      <c r="J76" s="63"/>
    </row>
    <row r="77" spans="1:10" ht="15.75">
      <c r="A77" s="64"/>
      <c r="B77" s="64"/>
      <c r="C77" s="64"/>
      <c r="D77" s="65"/>
      <c r="E77" s="65"/>
      <c r="F77" s="65"/>
      <c r="G77" s="65"/>
      <c r="H77" s="65"/>
      <c r="I77" s="65"/>
      <c r="J77" s="66"/>
    </row>
    <row r="78" spans="1:10" ht="15.75">
      <c r="A78" s="67"/>
      <c r="B78" s="67"/>
      <c r="C78" s="67"/>
      <c r="D78" s="68"/>
      <c r="E78" s="68"/>
      <c r="F78" s="68"/>
      <c r="G78" s="68"/>
      <c r="H78" s="68"/>
      <c r="I78" s="68"/>
      <c r="J78" s="63"/>
    </row>
    <row r="79" spans="1:10" ht="15.75">
      <c r="A79" s="64"/>
      <c r="B79" s="64"/>
      <c r="C79" s="64"/>
      <c r="D79" s="65"/>
      <c r="E79" s="65"/>
      <c r="F79" s="65"/>
      <c r="G79" s="65"/>
      <c r="H79" s="65"/>
      <c r="I79" s="65"/>
      <c r="J79" s="66"/>
    </row>
    <row r="80" spans="1:10" ht="15.75">
      <c r="A80" s="67"/>
      <c r="B80" s="67"/>
      <c r="C80" s="67"/>
      <c r="D80" s="68"/>
      <c r="E80" s="68"/>
      <c r="F80" s="68"/>
      <c r="G80" s="68"/>
      <c r="H80" s="68"/>
      <c r="I80" s="68"/>
      <c r="J80" s="63"/>
    </row>
    <row r="81" spans="1:10" ht="15.75">
      <c r="A81" s="64"/>
      <c r="B81" s="64"/>
      <c r="C81" s="64"/>
      <c r="D81" s="65"/>
      <c r="E81" s="65"/>
      <c r="F81" s="65"/>
      <c r="G81" s="65"/>
      <c r="H81" s="65"/>
      <c r="I81" s="65"/>
      <c r="J81" s="66"/>
    </row>
    <row r="82" spans="1:10" ht="15.75">
      <c r="A82" s="67"/>
      <c r="B82" s="67"/>
      <c r="C82" s="67"/>
      <c r="D82" s="68"/>
      <c r="E82" s="68"/>
      <c r="F82" s="68"/>
      <c r="G82" s="68"/>
      <c r="H82" s="68"/>
      <c r="I82" s="68"/>
      <c r="J82" s="63"/>
    </row>
    <row r="83" spans="1:10">
      <c r="A83" s="64"/>
      <c r="B83" s="64"/>
      <c r="C83" s="64"/>
      <c r="D83" s="69"/>
      <c r="E83" s="69"/>
      <c r="F83" s="69"/>
      <c r="G83" s="69"/>
      <c r="H83" s="69"/>
      <c r="I83" s="69"/>
      <c r="J83" s="66"/>
    </row>
    <row r="84" spans="1:10">
      <c r="A84" s="67"/>
      <c r="B84" s="67"/>
      <c r="C84" s="67"/>
      <c r="D84" s="62"/>
      <c r="E84" s="62"/>
      <c r="F84" s="62"/>
      <c r="G84" s="62"/>
      <c r="H84" s="62"/>
      <c r="I84" s="62"/>
      <c r="J84" s="63"/>
    </row>
    <row r="85" spans="1:10">
      <c r="A85" s="64"/>
      <c r="B85" s="64"/>
      <c r="C85" s="64"/>
      <c r="D85" s="69"/>
      <c r="E85" s="69"/>
      <c r="F85" s="69"/>
      <c r="G85" s="69"/>
      <c r="H85" s="69"/>
      <c r="I85" s="69"/>
      <c r="J85" s="66"/>
    </row>
    <row r="86" spans="1:10">
      <c r="A86" s="67"/>
      <c r="B86" s="67"/>
      <c r="C86" s="67"/>
      <c r="D86" s="62"/>
      <c r="E86" s="62"/>
      <c r="F86" s="62"/>
      <c r="G86" s="62"/>
      <c r="H86" s="62"/>
      <c r="I86" s="62"/>
      <c r="J86" s="63"/>
    </row>
    <row r="87" spans="1:10">
      <c r="A87" s="64"/>
      <c r="B87" s="64"/>
      <c r="C87" s="64"/>
      <c r="D87" s="69"/>
      <c r="E87" s="69"/>
      <c r="F87" s="69"/>
      <c r="G87" s="69"/>
      <c r="H87" s="69"/>
      <c r="I87" s="69"/>
      <c r="J87" s="66"/>
    </row>
    <row r="88" spans="1:10" ht="15.75">
      <c r="A88" s="67"/>
      <c r="B88" s="67"/>
      <c r="C88" s="67"/>
      <c r="D88" s="68"/>
      <c r="E88" s="68"/>
      <c r="F88" s="68"/>
      <c r="G88" s="68"/>
      <c r="H88" s="68"/>
      <c r="I88" s="68"/>
      <c r="J88" s="63"/>
    </row>
    <row r="89" spans="1:10">
      <c r="A89" s="64"/>
      <c r="B89" s="64"/>
      <c r="C89" s="64"/>
      <c r="D89" s="69"/>
      <c r="E89" s="69"/>
      <c r="F89" s="69"/>
      <c r="G89" s="69"/>
      <c r="H89" s="69"/>
      <c r="I89" s="69"/>
      <c r="J89" s="66"/>
    </row>
    <row r="90" spans="1:10" ht="15.75">
      <c r="A90" s="67"/>
      <c r="B90" s="67"/>
      <c r="C90" s="67"/>
      <c r="D90" s="68"/>
      <c r="E90" s="68"/>
      <c r="F90" s="68"/>
      <c r="G90" s="68"/>
      <c r="H90" s="68"/>
      <c r="I90" s="68"/>
      <c r="J90" s="63"/>
    </row>
    <row r="91" spans="1:10" ht="15.75">
      <c r="A91" s="64"/>
      <c r="B91" s="64"/>
      <c r="C91" s="64"/>
      <c r="D91" s="65"/>
      <c r="E91" s="65"/>
      <c r="F91" s="65"/>
      <c r="G91" s="65"/>
      <c r="H91" s="65"/>
      <c r="I91" s="65"/>
      <c r="J91" s="66"/>
    </row>
    <row r="92" spans="1:10" ht="15.75">
      <c r="A92" s="67"/>
      <c r="B92" s="67"/>
      <c r="C92" s="67"/>
      <c r="D92" s="68"/>
      <c r="E92" s="68"/>
      <c r="F92" s="68"/>
      <c r="G92" s="68"/>
      <c r="H92" s="68"/>
      <c r="I92" s="68"/>
      <c r="J92" s="63"/>
    </row>
    <row r="93" spans="1:10" ht="15.75">
      <c r="A93" s="64"/>
      <c r="B93" s="64"/>
      <c r="C93" s="64"/>
      <c r="D93" s="65"/>
      <c r="E93" s="65"/>
      <c r="F93" s="65"/>
      <c r="G93" s="65"/>
      <c r="H93" s="65"/>
      <c r="I93" s="65"/>
      <c r="J93" s="66"/>
    </row>
    <row r="94" spans="1:10" ht="15.75">
      <c r="A94" s="67"/>
      <c r="B94" s="67"/>
      <c r="C94" s="67"/>
      <c r="D94" s="68"/>
      <c r="E94" s="68"/>
      <c r="F94" s="68"/>
      <c r="G94" s="68"/>
      <c r="H94" s="68"/>
      <c r="I94" s="68"/>
      <c r="J94" s="63"/>
    </row>
    <row r="95" spans="1:10">
      <c r="A95" s="64"/>
      <c r="B95" s="64"/>
      <c r="C95" s="64"/>
      <c r="D95" s="69"/>
      <c r="E95" s="69"/>
      <c r="F95" s="69"/>
      <c r="G95" s="69"/>
      <c r="H95" s="69"/>
      <c r="I95" s="69"/>
      <c r="J95" s="66"/>
    </row>
    <row r="96" spans="1:10" ht="15.75">
      <c r="A96" s="67"/>
      <c r="B96" s="67"/>
      <c r="C96" s="67"/>
      <c r="D96" s="70"/>
      <c r="E96" s="70"/>
      <c r="F96" s="70"/>
      <c r="G96" s="70"/>
      <c r="H96" s="70"/>
      <c r="I96" s="70"/>
      <c r="J96" s="63"/>
    </row>
    <row r="97" spans="1:10" ht="15.75">
      <c r="A97" s="64"/>
      <c r="B97" s="64"/>
      <c r="C97" s="64"/>
      <c r="D97" s="71"/>
      <c r="E97" s="71"/>
      <c r="F97" s="71"/>
      <c r="G97" s="71"/>
      <c r="H97" s="71"/>
      <c r="I97" s="71"/>
      <c r="J97" s="66"/>
    </row>
    <row r="98" spans="1:10" ht="15.75">
      <c r="A98" s="67"/>
      <c r="B98" s="67"/>
      <c r="C98" s="67"/>
      <c r="D98" s="70"/>
      <c r="E98" s="70"/>
      <c r="F98" s="70"/>
      <c r="G98" s="70"/>
      <c r="H98" s="70"/>
      <c r="I98" s="70"/>
      <c r="J98" s="63"/>
    </row>
    <row r="99" spans="1:10" ht="15.75">
      <c r="A99" s="64"/>
      <c r="B99" s="64"/>
      <c r="C99" s="64"/>
      <c r="D99" s="71"/>
      <c r="E99" s="71"/>
      <c r="F99" s="71"/>
      <c r="G99" s="71"/>
      <c r="H99" s="71"/>
      <c r="I99" s="71"/>
      <c r="J99" s="66"/>
    </row>
    <row r="100" spans="1:10" ht="15.75">
      <c r="A100" s="67"/>
      <c r="B100" s="67"/>
      <c r="C100" s="67"/>
      <c r="D100" s="70"/>
      <c r="E100" s="70"/>
      <c r="F100" s="70"/>
      <c r="G100" s="70"/>
      <c r="H100" s="70"/>
      <c r="I100" s="70"/>
      <c r="J100" s="63"/>
    </row>
    <row r="101" spans="1:10" ht="15.75">
      <c r="A101" s="64"/>
      <c r="B101" s="64"/>
      <c r="C101" s="64"/>
      <c r="D101" s="71"/>
      <c r="E101" s="71"/>
      <c r="F101" s="71"/>
      <c r="G101" s="71"/>
      <c r="H101" s="71"/>
      <c r="I101" s="71"/>
      <c r="J101" s="66"/>
    </row>
    <row r="102" spans="1:10" ht="15.75">
      <c r="A102" s="67"/>
      <c r="B102" s="67"/>
      <c r="C102" s="67"/>
      <c r="D102" s="70"/>
      <c r="E102" s="70"/>
      <c r="F102" s="70"/>
      <c r="G102" s="70"/>
      <c r="H102" s="70"/>
      <c r="I102" s="70"/>
      <c r="J102" s="63"/>
    </row>
    <row r="103" spans="1:10" ht="15.75">
      <c r="A103" s="64"/>
      <c r="B103" s="64"/>
      <c r="C103" s="64"/>
      <c r="D103" s="71"/>
      <c r="E103" s="71"/>
      <c r="F103" s="71"/>
      <c r="G103" s="71"/>
      <c r="H103" s="71"/>
      <c r="I103" s="71"/>
      <c r="J103" s="66"/>
    </row>
    <row r="104" spans="1:10" ht="15.75">
      <c r="A104" s="67"/>
      <c r="B104" s="67"/>
      <c r="C104" s="67"/>
      <c r="D104" s="70"/>
      <c r="E104" s="70"/>
      <c r="F104" s="70"/>
      <c r="G104" s="70"/>
      <c r="H104" s="70"/>
      <c r="I104" s="70"/>
      <c r="J104" s="63"/>
    </row>
    <row r="105" spans="1:10" ht="15.75">
      <c r="A105" s="64"/>
      <c r="B105" s="64"/>
      <c r="C105" s="64"/>
      <c r="D105" s="71"/>
      <c r="E105" s="71"/>
      <c r="F105" s="71"/>
      <c r="G105" s="71"/>
      <c r="H105" s="71"/>
      <c r="I105" s="71"/>
      <c r="J105" s="66"/>
    </row>
    <row r="106" spans="1:10" ht="15.75">
      <c r="A106" s="67"/>
      <c r="B106" s="67"/>
      <c r="C106" s="67"/>
      <c r="D106" s="70"/>
      <c r="E106" s="70"/>
      <c r="F106" s="70"/>
      <c r="G106" s="70"/>
      <c r="H106" s="70"/>
      <c r="I106" s="70"/>
      <c r="J106" s="63"/>
    </row>
    <row r="107" spans="1:10" ht="15.75">
      <c r="A107" s="64"/>
      <c r="B107" s="64"/>
      <c r="C107" s="64"/>
      <c r="D107" s="71"/>
      <c r="E107" s="71"/>
      <c r="F107" s="71"/>
      <c r="G107" s="71"/>
      <c r="H107" s="71"/>
      <c r="I107" s="71"/>
      <c r="J107" s="66"/>
    </row>
    <row r="108" spans="1:10" ht="15.75">
      <c r="A108" s="67"/>
      <c r="B108" s="67"/>
      <c r="C108" s="67"/>
      <c r="D108" s="70"/>
      <c r="E108" s="70"/>
      <c r="F108" s="70"/>
      <c r="G108" s="70"/>
      <c r="H108" s="70"/>
      <c r="I108" s="70"/>
      <c r="J108" s="63"/>
    </row>
    <row r="109" spans="1:10" ht="15.75">
      <c r="A109" s="64"/>
      <c r="B109" s="64"/>
      <c r="C109" s="64"/>
      <c r="D109" s="71"/>
      <c r="E109" s="71"/>
      <c r="F109" s="71"/>
      <c r="G109" s="71"/>
      <c r="H109" s="71"/>
      <c r="I109" s="71"/>
      <c r="J109" s="66"/>
    </row>
    <row r="110" spans="1:10" ht="15.75">
      <c r="A110" s="67"/>
      <c r="B110" s="67"/>
      <c r="C110" s="67"/>
      <c r="D110" s="70"/>
      <c r="E110" s="70"/>
      <c r="F110" s="70"/>
      <c r="G110" s="70"/>
      <c r="H110" s="70"/>
      <c r="I110" s="70"/>
      <c r="J110" s="63"/>
    </row>
    <row r="111" spans="1:10" ht="15.75">
      <c r="A111" s="64"/>
      <c r="B111" s="64"/>
      <c r="C111" s="64"/>
      <c r="D111" s="71"/>
      <c r="E111" s="71"/>
      <c r="F111" s="71"/>
      <c r="G111" s="71"/>
      <c r="H111" s="71"/>
      <c r="I111" s="71"/>
      <c r="J111" s="66"/>
    </row>
    <row r="112" spans="1:10" ht="15.75">
      <c r="A112" s="67"/>
      <c r="B112" s="67"/>
      <c r="C112" s="67"/>
      <c r="D112" s="70"/>
      <c r="E112" s="70"/>
      <c r="F112" s="70"/>
      <c r="G112" s="70"/>
      <c r="H112" s="70"/>
      <c r="I112" s="70"/>
      <c r="J112" s="63"/>
    </row>
    <row r="113" spans="1:10" ht="15.75">
      <c r="A113" s="64"/>
      <c r="B113" s="64"/>
      <c r="C113" s="64"/>
      <c r="D113" s="71"/>
      <c r="E113" s="71"/>
      <c r="F113" s="71"/>
      <c r="G113" s="71"/>
      <c r="H113" s="71"/>
      <c r="I113" s="71"/>
      <c r="J113" s="66"/>
    </row>
    <row r="114" spans="1:10" ht="15.75">
      <c r="A114" s="67"/>
      <c r="B114" s="67"/>
      <c r="C114" s="67"/>
      <c r="D114" s="70"/>
      <c r="E114" s="70"/>
      <c r="F114" s="70"/>
      <c r="G114" s="70"/>
      <c r="H114" s="70"/>
      <c r="I114" s="70"/>
      <c r="J114" s="63"/>
    </row>
    <row r="115" spans="1:10" ht="15.75">
      <c r="A115" s="64"/>
      <c r="B115" s="64"/>
      <c r="C115" s="64"/>
      <c r="D115" s="71"/>
      <c r="E115" s="71"/>
      <c r="F115" s="71"/>
      <c r="G115" s="71"/>
      <c r="H115" s="71"/>
      <c r="I115" s="71"/>
      <c r="J115" s="66"/>
    </row>
    <row r="116" spans="1:10" ht="15.75">
      <c r="A116" s="67"/>
      <c r="B116" s="67"/>
      <c r="C116" s="67"/>
      <c r="D116" s="70"/>
      <c r="E116" s="70"/>
      <c r="F116" s="70"/>
      <c r="G116" s="70"/>
      <c r="H116" s="70"/>
      <c r="I116" s="70"/>
      <c r="J116" s="63"/>
    </row>
    <row r="117" spans="1:10" ht="15.75">
      <c r="A117" s="64"/>
      <c r="B117" s="64"/>
      <c r="C117" s="64"/>
      <c r="D117" s="71"/>
      <c r="E117" s="71"/>
      <c r="F117" s="71"/>
      <c r="G117" s="71"/>
      <c r="H117" s="71"/>
      <c r="I117" s="71"/>
      <c r="J117" s="66"/>
    </row>
    <row r="118" spans="1:10" ht="15.75">
      <c r="A118" s="67"/>
      <c r="B118" s="67"/>
      <c r="C118" s="67"/>
      <c r="D118" s="70"/>
      <c r="E118" s="70"/>
      <c r="F118" s="70"/>
      <c r="G118" s="70"/>
      <c r="H118" s="70"/>
      <c r="I118" s="70"/>
      <c r="J118" s="63"/>
    </row>
    <row r="119" spans="1:10" ht="15.75">
      <c r="A119" s="64"/>
      <c r="B119" s="64"/>
      <c r="C119" s="64"/>
      <c r="D119" s="71"/>
      <c r="E119" s="71"/>
      <c r="F119" s="71"/>
      <c r="G119" s="71"/>
      <c r="H119" s="71"/>
      <c r="I119" s="71"/>
      <c r="J119" s="66"/>
    </row>
    <row r="120" spans="1:10" ht="15.75">
      <c r="A120" s="67"/>
      <c r="B120" s="67"/>
      <c r="C120" s="67"/>
      <c r="D120" s="70"/>
      <c r="E120" s="70"/>
      <c r="F120" s="70"/>
      <c r="G120" s="70"/>
      <c r="H120" s="70"/>
      <c r="I120" s="70"/>
      <c r="J120" s="63"/>
    </row>
    <row r="121" spans="1:10" ht="15.75">
      <c r="A121" s="64"/>
      <c r="B121" s="64"/>
      <c r="C121" s="64"/>
      <c r="D121" s="71"/>
      <c r="E121" s="71"/>
      <c r="F121" s="71"/>
      <c r="G121" s="71"/>
      <c r="H121" s="71"/>
      <c r="I121" s="71"/>
      <c r="J121" s="66"/>
    </row>
    <row r="122" spans="1:10" ht="15.75">
      <c r="A122" s="67"/>
      <c r="B122" s="67"/>
      <c r="C122" s="67"/>
      <c r="D122" s="70"/>
      <c r="E122" s="70"/>
      <c r="F122" s="70"/>
      <c r="G122" s="70"/>
      <c r="H122" s="70"/>
      <c r="I122" s="70"/>
      <c r="J122" s="63"/>
    </row>
    <row r="123" spans="1:10" ht="15.75">
      <c r="A123" s="64"/>
      <c r="B123" s="64"/>
      <c r="C123" s="64"/>
      <c r="D123" s="71"/>
      <c r="E123" s="71"/>
      <c r="F123" s="71"/>
      <c r="G123" s="71"/>
      <c r="H123" s="71"/>
      <c r="I123" s="71"/>
      <c r="J123" s="66"/>
    </row>
    <row r="124" spans="1:10" ht="15.75">
      <c r="A124" s="67"/>
      <c r="B124" s="67"/>
      <c r="C124" s="67"/>
      <c r="D124" s="70"/>
      <c r="E124" s="70"/>
      <c r="F124" s="70"/>
      <c r="G124" s="70"/>
      <c r="H124" s="70"/>
      <c r="I124" s="70"/>
      <c r="J124" s="63"/>
    </row>
    <row r="125" spans="1:10" ht="15.75">
      <c r="A125" s="64"/>
      <c r="B125" s="64"/>
      <c r="C125" s="64"/>
      <c r="D125" s="71"/>
      <c r="E125" s="71"/>
      <c r="F125" s="71"/>
      <c r="G125" s="71"/>
      <c r="H125" s="71"/>
      <c r="I125" s="71"/>
      <c r="J125" s="66"/>
    </row>
    <row r="126" spans="1:10" ht="15.75">
      <c r="A126" s="67"/>
      <c r="B126" s="67"/>
      <c r="C126" s="67"/>
      <c r="D126" s="70"/>
      <c r="E126" s="70"/>
      <c r="F126" s="70"/>
      <c r="G126" s="70"/>
      <c r="H126" s="70"/>
      <c r="I126" s="70"/>
      <c r="J126" s="63"/>
    </row>
    <row r="127" spans="1:10" ht="15.75">
      <c r="A127" s="64"/>
      <c r="B127" s="64"/>
      <c r="C127" s="64"/>
      <c r="D127" s="71"/>
      <c r="E127" s="71"/>
      <c r="F127" s="71"/>
      <c r="G127" s="71"/>
      <c r="H127" s="71"/>
      <c r="I127" s="71"/>
      <c r="J127" s="66"/>
    </row>
    <row r="128" spans="1:10" ht="15.75">
      <c r="A128" s="67"/>
      <c r="B128" s="67"/>
      <c r="C128" s="67"/>
      <c r="D128" s="70"/>
      <c r="E128" s="70"/>
      <c r="F128" s="70"/>
      <c r="G128" s="70"/>
      <c r="H128" s="70"/>
      <c r="I128" s="70"/>
      <c r="J128" s="63"/>
    </row>
    <row r="129" spans="1:10" ht="15.75">
      <c r="A129" s="64"/>
      <c r="B129" s="64"/>
      <c r="C129" s="64"/>
      <c r="D129" s="71"/>
      <c r="E129" s="71"/>
      <c r="F129" s="71"/>
      <c r="G129" s="71"/>
      <c r="H129" s="71"/>
      <c r="I129" s="71"/>
      <c r="J129" s="66"/>
    </row>
    <row r="130" spans="1:10" ht="15.75">
      <c r="A130" s="67"/>
      <c r="B130" s="67"/>
      <c r="C130" s="67"/>
      <c r="D130" s="70"/>
      <c r="E130" s="70"/>
      <c r="F130" s="70"/>
      <c r="G130" s="70"/>
      <c r="H130" s="70"/>
      <c r="I130" s="70"/>
      <c r="J130" s="63"/>
    </row>
    <row r="131" spans="1:10" ht="15.75">
      <c r="A131" s="64"/>
      <c r="B131" s="64"/>
      <c r="C131" s="64"/>
      <c r="D131" s="71"/>
      <c r="E131" s="71"/>
      <c r="F131" s="71"/>
      <c r="G131" s="71"/>
      <c r="H131" s="71"/>
      <c r="I131" s="71"/>
      <c r="J131" s="66"/>
    </row>
    <row r="132" spans="1:10" ht="15.75">
      <c r="A132" s="72"/>
      <c r="B132" s="67"/>
      <c r="C132" s="67"/>
      <c r="D132" s="70"/>
      <c r="E132" s="70"/>
      <c r="F132" s="70"/>
      <c r="G132" s="70"/>
      <c r="H132" s="70"/>
      <c r="I132" s="70"/>
      <c r="J132" s="63"/>
    </row>
    <row r="133" spans="1:10" ht="15.75">
      <c r="A133" s="73"/>
      <c r="B133" s="74"/>
      <c r="C133" s="74"/>
      <c r="D133" s="75"/>
      <c r="E133" s="75"/>
      <c r="F133" s="75"/>
      <c r="G133" s="75"/>
      <c r="H133" s="75"/>
      <c r="I133" s="75"/>
      <c r="J133" s="76"/>
    </row>
    <row r="134" spans="1:10" ht="15.75">
      <c r="A134" s="162"/>
      <c r="B134" s="163"/>
      <c r="C134" s="53"/>
      <c r="D134" s="114"/>
      <c r="E134" s="114"/>
      <c r="F134" s="114"/>
      <c r="G134" s="114"/>
      <c r="H134" s="114"/>
      <c r="I134" s="55"/>
      <c r="J134"/>
    </row>
    <row r="135" spans="1:10">
      <c r="J135"/>
    </row>
    <row r="136" spans="1:10" ht="15" customHeight="1">
      <c r="J136"/>
    </row>
    <row r="137" spans="1:10" ht="15" customHeight="1">
      <c r="J137"/>
    </row>
    <row r="138" spans="1:10" ht="15" customHeight="1">
      <c r="J138"/>
    </row>
    <row r="139" spans="1:10" ht="15" customHeight="1">
      <c r="J139"/>
    </row>
    <row r="140" spans="1:10" ht="15" customHeight="1">
      <c r="J140"/>
    </row>
    <row r="141" spans="1:10" ht="15" customHeight="1">
      <c r="J141"/>
    </row>
    <row r="142" spans="1:10" ht="15" customHeight="1">
      <c r="J142"/>
    </row>
    <row r="143" spans="1:10" ht="15" customHeight="1">
      <c r="J143"/>
    </row>
    <row r="144" spans="1:10" ht="15" customHeight="1">
      <c r="J144"/>
    </row>
    <row r="145" spans="10:10" ht="15" customHeight="1">
      <c r="J145"/>
    </row>
    <row r="146" spans="10:10" ht="15" customHeight="1">
      <c r="J146"/>
    </row>
    <row r="147" spans="10:10" ht="15" customHeight="1">
      <c r="J147"/>
    </row>
    <row r="148" spans="10:10" ht="15" customHeight="1">
      <c r="J148"/>
    </row>
    <row r="149" spans="10:10" ht="15" customHeight="1">
      <c r="J149"/>
    </row>
    <row r="150" spans="10:10" ht="15" customHeight="1">
      <c r="J150"/>
    </row>
    <row r="151" spans="10:10" ht="15" customHeight="1">
      <c r="J151"/>
    </row>
    <row r="152" spans="10:10" ht="15" customHeight="1">
      <c r="J152"/>
    </row>
    <row r="153" spans="10:10" ht="15" customHeight="1">
      <c r="J153"/>
    </row>
    <row r="154" spans="10:10" ht="15" customHeight="1">
      <c r="J154"/>
    </row>
    <row r="155" spans="10:10" ht="15" customHeight="1">
      <c r="J155"/>
    </row>
    <row r="156" spans="10:10" ht="15" customHeight="1">
      <c r="J156"/>
    </row>
  </sheetData>
  <mergeCells count="2">
    <mergeCell ref="D134:H134"/>
    <mergeCell ref="A134:B134"/>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F8E5D-8369-438C-A8C9-370412971EB5}">
  <sheetPr>
    <tabColor rgb="FFFFC000"/>
  </sheetPr>
  <dimension ref="A1:J64"/>
  <sheetViews>
    <sheetView workbookViewId="0">
      <pane xSplit="4" ySplit="1" topLeftCell="E2" activePane="bottomRight" state="frozen"/>
      <selection pane="bottomRight" activeCell="E2" sqref="E2"/>
      <selection pane="bottomLeft"/>
      <selection pane="topRight"/>
    </sheetView>
  </sheetViews>
  <sheetFormatPr defaultRowHeight="15"/>
  <cols>
    <col min="1" max="1" width="9.28515625" bestFit="1" customWidth="1"/>
    <col min="2" max="2" width="17.42578125" bestFit="1" customWidth="1"/>
    <col min="3" max="3" width="16.140625" bestFit="1" customWidth="1"/>
    <col min="4" max="4" width="19.42578125" bestFit="1" customWidth="1"/>
    <col min="5" max="5" width="22.28515625" bestFit="1" customWidth="1"/>
    <col min="6" max="6" width="25.140625" bestFit="1" customWidth="1"/>
    <col min="7" max="7" width="49" bestFit="1" customWidth="1"/>
    <col min="8" max="8" width="5.7109375" bestFit="1" customWidth="1"/>
    <col min="9" max="9" width="11.7109375" bestFit="1" customWidth="1"/>
    <col min="10" max="10" width="32.5703125" bestFit="1" customWidth="1"/>
  </cols>
  <sheetData>
    <row r="1" spans="1:10">
      <c r="A1" s="118" t="s">
        <v>576</v>
      </c>
      <c r="B1" s="118" t="s">
        <v>877</v>
      </c>
      <c r="C1" s="118" t="s">
        <v>1423</v>
      </c>
      <c r="D1" s="118" t="s">
        <v>878</v>
      </c>
      <c r="E1" s="118" t="s">
        <v>879</v>
      </c>
      <c r="F1" s="118" t="s">
        <v>880</v>
      </c>
      <c r="G1" s="118" t="s">
        <v>881</v>
      </c>
      <c r="H1" s="118" t="s">
        <v>1801</v>
      </c>
      <c r="I1" s="118" t="s">
        <v>883</v>
      </c>
      <c r="J1" s="118" t="s">
        <v>884</v>
      </c>
    </row>
    <row r="2" spans="1:10">
      <c r="A2" s="125" t="s">
        <v>424</v>
      </c>
      <c r="B2" s="125" t="s">
        <v>259</v>
      </c>
      <c r="C2" s="142" t="s">
        <v>891</v>
      </c>
      <c r="D2" s="126" t="s">
        <v>891</v>
      </c>
      <c r="E2" s="126" t="s">
        <v>892</v>
      </c>
      <c r="F2" s="126" t="s">
        <v>893</v>
      </c>
      <c r="G2" s="126" t="s">
        <v>1424</v>
      </c>
      <c r="H2" s="126" t="s">
        <v>895</v>
      </c>
      <c r="I2" s="126" t="s">
        <v>874</v>
      </c>
      <c r="J2" s="126" t="s">
        <v>1802</v>
      </c>
    </row>
    <row r="3" spans="1:10">
      <c r="A3" s="125"/>
      <c r="B3" s="125"/>
      <c r="C3" s="143"/>
      <c r="D3" s="126" t="s">
        <v>891</v>
      </c>
      <c r="E3" s="126" t="s">
        <v>897</v>
      </c>
      <c r="F3" s="126" t="s">
        <v>898</v>
      </c>
      <c r="G3" s="126" t="s">
        <v>1426</v>
      </c>
      <c r="H3" s="126" t="s">
        <v>895</v>
      </c>
      <c r="I3" s="126" t="s">
        <v>874</v>
      </c>
      <c r="J3" s="126" t="s">
        <v>1427</v>
      </c>
    </row>
    <row r="4" spans="1:10">
      <c r="A4" s="125"/>
      <c r="B4" s="125"/>
      <c r="C4" s="143"/>
      <c r="D4" s="126" t="s">
        <v>891</v>
      </c>
      <c r="E4" s="126" t="s">
        <v>910</v>
      </c>
      <c r="F4" s="126" t="s">
        <v>902</v>
      </c>
      <c r="G4" s="126" t="s">
        <v>1428</v>
      </c>
      <c r="H4" s="126" t="s">
        <v>904</v>
      </c>
      <c r="I4" s="126" t="s">
        <v>874</v>
      </c>
      <c r="J4" s="126" t="s">
        <v>1429</v>
      </c>
    </row>
    <row r="5" spans="1:10">
      <c r="A5" s="125"/>
      <c r="B5" s="125"/>
      <c r="C5" s="144"/>
      <c r="D5" s="126" t="s">
        <v>891</v>
      </c>
      <c r="E5" s="126" t="s">
        <v>906</v>
      </c>
      <c r="F5" s="126" t="s">
        <v>907</v>
      </c>
      <c r="G5" s="126" t="s">
        <v>1430</v>
      </c>
      <c r="H5" s="126" t="s">
        <v>895</v>
      </c>
      <c r="I5" s="126" t="s">
        <v>874</v>
      </c>
      <c r="J5" s="126" t="s">
        <v>1803</v>
      </c>
    </row>
    <row r="6" spans="1:10">
      <c r="A6" s="125"/>
      <c r="B6" s="125"/>
      <c r="C6" s="142" t="s">
        <v>910</v>
      </c>
      <c r="D6" s="126" t="s">
        <v>910</v>
      </c>
      <c r="E6" s="126" t="s">
        <v>892</v>
      </c>
      <c r="F6" s="126" t="s">
        <v>911</v>
      </c>
      <c r="G6" s="126" t="s">
        <v>1424</v>
      </c>
      <c r="H6" s="126" t="s">
        <v>895</v>
      </c>
      <c r="I6" s="126" t="s">
        <v>874</v>
      </c>
      <c r="J6" s="126" t="s">
        <v>1804</v>
      </c>
    </row>
    <row r="7" spans="1:10">
      <c r="A7" s="125"/>
      <c r="B7" s="125"/>
      <c r="C7" s="143"/>
      <c r="D7" s="126" t="s">
        <v>910</v>
      </c>
      <c r="E7" s="126" t="s">
        <v>913</v>
      </c>
      <c r="F7" s="126" t="s">
        <v>907</v>
      </c>
      <c r="G7" s="126" t="s">
        <v>1433</v>
      </c>
      <c r="H7" s="126" t="s">
        <v>895</v>
      </c>
      <c r="I7" s="126" t="s">
        <v>874</v>
      </c>
      <c r="J7" s="126" t="s">
        <v>1434</v>
      </c>
    </row>
    <row r="8" spans="1:10">
      <c r="A8" s="125"/>
      <c r="B8" s="125"/>
      <c r="C8" s="143"/>
      <c r="D8" s="126" t="s">
        <v>910</v>
      </c>
      <c r="E8" s="126" t="s">
        <v>916</v>
      </c>
      <c r="F8" s="126" t="s">
        <v>932</v>
      </c>
      <c r="G8" s="126" t="s">
        <v>1435</v>
      </c>
      <c r="H8" s="126" t="s">
        <v>895</v>
      </c>
      <c r="I8" s="126" t="s">
        <v>874</v>
      </c>
      <c r="J8" s="126" t="s">
        <v>1805</v>
      </c>
    </row>
    <row r="9" spans="1:10">
      <c r="A9" s="125"/>
      <c r="B9" s="125"/>
      <c r="C9" s="143"/>
      <c r="D9" s="126" t="s">
        <v>910</v>
      </c>
      <c r="E9" s="126" t="s">
        <v>920</v>
      </c>
      <c r="F9" s="126" t="s">
        <v>921</v>
      </c>
      <c r="G9" s="126" t="s">
        <v>1806</v>
      </c>
      <c r="H9" s="126" t="s">
        <v>895</v>
      </c>
      <c r="I9" s="126" t="s">
        <v>874</v>
      </c>
      <c r="J9" s="126" t="s">
        <v>1807</v>
      </c>
    </row>
    <row r="10" spans="1:10">
      <c r="A10" s="125"/>
      <c r="B10" s="125"/>
      <c r="C10" s="143"/>
      <c r="D10" s="126" t="s">
        <v>910</v>
      </c>
      <c r="E10" s="126" t="s">
        <v>924</v>
      </c>
      <c r="F10" s="126" t="s">
        <v>921</v>
      </c>
      <c r="G10" s="126" t="s">
        <v>1439</v>
      </c>
      <c r="H10" s="126" t="s">
        <v>895</v>
      </c>
      <c r="I10" s="126" t="s">
        <v>874</v>
      </c>
      <c r="J10" s="126" t="s">
        <v>1440</v>
      </c>
    </row>
    <row r="11" spans="1:10">
      <c r="A11" s="125"/>
      <c r="B11" s="125"/>
      <c r="C11" s="144"/>
      <c r="D11" s="126" t="s">
        <v>910</v>
      </c>
      <c r="E11" s="126" t="s">
        <v>1808</v>
      </c>
      <c r="F11" s="126" t="s">
        <v>907</v>
      </c>
      <c r="G11" s="126" t="s">
        <v>1441</v>
      </c>
      <c r="H11" s="126" t="s">
        <v>895</v>
      </c>
      <c r="I11" s="126" t="s">
        <v>874</v>
      </c>
      <c r="J11" s="126" t="s">
        <v>1442</v>
      </c>
    </row>
    <row r="12" spans="1:10">
      <c r="A12" s="125"/>
      <c r="B12" s="125" t="s">
        <v>580</v>
      </c>
      <c r="C12" s="142" t="s">
        <v>1809</v>
      </c>
      <c r="D12" s="126" t="s">
        <v>1810</v>
      </c>
      <c r="E12" s="126" t="s">
        <v>1811</v>
      </c>
      <c r="F12" s="126" t="s">
        <v>1812</v>
      </c>
      <c r="G12" s="126" t="s">
        <v>1813</v>
      </c>
      <c r="H12" s="126" t="s">
        <v>895</v>
      </c>
      <c r="I12" s="126" t="s">
        <v>874</v>
      </c>
      <c r="J12" s="126" t="s">
        <v>1814</v>
      </c>
    </row>
    <row r="13" spans="1:10">
      <c r="A13" s="125"/>
      <c r="B13" s="125"/>
      <c r="C13" s="143"/>
      <c r="D13" s="126" t="s">
        <v>1810</v>
      </c>
      <c r="E13" s="126" t="s">
        <v>1815</v>
      </c>
      <c r="F13" s="126" t="s">
        <v>1086</v>
      </c>
      <c r="G13" s="126" t="s">
        <v>1816</v>
      </c>
      <c r="H13" s="126" t="s">
        <v>895</v>
      </c>
      <c r="I13" s="126" t="s">
        <v>874</v>
      </c>
      <c r="J13" s="126" t="s">
        <v>1513</v>
      </c>
    </row>
    <row r="14" spans="1:10">
      <c r="A14" s="125"/>
      <c r="B14" s="125"/>
      <c r="C14" s="143"/>
      <c r="D14" s="126" t="s">
        <v>1810</v>
      </c>
      <c r="E14" s="126" t="s">
        <v>1817</v>
      </c>
      <c r="F14" s="126" t="s">
        <v>1086</v>
      </c>
      <c r="G14" s="126" t="s">
        <v>1818</v>
      </c>
      <c r="H14" s="126" t="s">
        <v>895</v>
      </c>
      <c r="I14" s="126" t="s">
        <v>874</v>
      </c>
      <c r="J14" s="126" t="s">
        <v>1819</v>
      </c>
    </row>
    <row r="15" spans="1:10">
      <c r="A15" s="125"/>
      <c r="B15" s="125"/>
      <c r="C15" s="143"/>
      <c r="D15" s="126" t="s">
        <v>1820</v>
      </c>
      <c r="E15" s="126" t="s">
        <v>1821</v>
      </c>
      <c r="F15" s="126" t="s">
        <v>1086</v>
      </c>
      <c r="G15" s="126" t="s">
        <v>1822</v>
      </c>
      <c r="H15" s="126" t="s">
        <v>904</v>
      </c>
      <c r="I15" s="126" t="s">
        <v>874</v>
      </c>
      <c r="J15" s="126" t="s">
        <v>1823</v>
      </c>
    </row>
    <row r="16" spans="1:10">
      <c r="A16" s="125"/>
      <c r="B16" s="125"/>
      <c r="C16" s="143"/>
      <c r="D16" s="126" t="s">
        <v>1820</v>
      </c>
      <c r="E16" s="126" t="s">
        <v>1824</v>
      </c>
      <c r="F16" s="126" t="s">
        <v>951</v>
      </c>
      <c r="G16" s="126" t="s">
        <v>1825</v>
      </c>
      <c r="H16" s="126" t="s">
        <v>904</v>
      </c>
      <c r="I16" s="126" t="s">
        <v>874</v>
      </c>
      <c r="J16" s="126" t="s">
        <v>1826</v>
      </c>
    </row>
    <row r="17" spans="1:10">
      <c r="A17" s="125"/>
      <c r="B17" s="125"/>
      <c r="C17" s="144"/>
      <c r="D17" s="126" t="s">
        <v>1820</v>
      </c>
      <c r="E17" s="126" t="s">
        <v>1062</v>
      </c>
      <c r="F17" s="126" t="s">
        <v>947</v>
      </c>
      <c r="G17" s="126" t="s">
        <v>1827</v>
      </c>
      <c r="H17" s="126" t="s">
        <v>904</v>
      </c>
      <c r="I17" s="126" t="s">
        <v>874</v>
      </c>
      <c r="J17" s="126" t="s">
        <v>1828</v>
      </c>
    </row>
    <row r="18" spans="1:10">
      <c r="A18" s="125"/>
      <c r="B18" s="125"/>
      <c r="C18" s="142" t="s">
        <v>1829</v>
      </c>
      <c r="D18" s="126" t="s">
        <v>1829</v>
      </c>
      <c r="E18" s="126" t="s">
        <v>960</v>
      </c>
      <c r="F18" s="126" t="s">
        <v>951</v>
      </c>
      <c r="G18" s="126" t="s">
        <v>1462</v>
      </c>
      <c r="H18" s="126" t="s">
        <v>895</v>
      </c>
      <c r="I18" s="126" t="s">
        <v>874</v>
      </c>
      <c r="J18" s="126" t="s">
        <v>1456</v>
      </c>
    </row>
    <row r="19" spans="1:10">
      <c r="A19" s="125"/>
      <c r="B19" s="125"/>
      <c r="C19" s="143"/>
      <c r="D19" s="126" t="s">
        <v>1829</v>
      </c>
      <c r="E19" s="126" t="s">
        <v>962</v>
      </c>
      <c r="F19" s="126" t="s">
        <v>951</v>
      </c>
      <c r="G19" s="126" t="s">
        <v>1464</v>
      </c>
      <c r="H19" s="126" t="s">
        <v>895</v>
      </c>
      <c r="I19" s="126" t="s">
        <v>874</v>
      </c>
      <c r="J19" s="126" t="s">
        <v>1456</v>
      </c>
    </row>
    <row r="20" spans="1:10">
      <c r="A20" s="125"/>
      <c r="B20" s="125"/>
      <c r="C20" s="143"/>
      <c r="D20" s="126" t="s">
        <v>1829</v>
      </c>
      <c r="E20" s="126" t="s">
        <v>974</v>
      </c>
      <c r="F20" s="126" t="s">
        <v>951</v>
      </c>
      <c r="G20" s="126" t="s">
        <v>1830</v>
      </c>
      <c r="H20" s="126" t="s">
        <v>904</v>
      </c>
      <c r="I20" s="126" t="s">
        <v>874</v>
      </c>
      <c r="J20" s="126" t="s">
        <v>1456</v>
      </c>
    </row>
    <row r="21" spans="1:10">
      <c r="A21" s="125"/>
      <c r="B21" s="125"/>
      <c r="C21" s="143"/>
      <c r="D21" s="126" t="s">
        <v>1829</v>
      </c>
      <c r="E21" s="126" t="s">
        <v>1831</v>
      </c>
      <c r="F21" s="126" t="s">
        <v>951</v>
      </c>
      <c r="G21" s="126" t="s">
        <v>1832</v>
      </c>
      <c r="H21" s="126" t="s">
        <v>904</v>
      </c>
      <c r="I21" s="126" t="s">
        <v>874</v>
      </c>
      <c r="J21" s="126" t="s">
        <v>1833</v>
      </c>
    </row>
    <row r="22" spans="1:10">
      <c r="A22" s="125"/>
      <c r="B22" s="125"/>
      <c r="C22" s="143"/>
      <c r="D22" s="126" t="s">
        <v>1829</v>
      </c>
      <c r="E22" s="126" t="s">
        <v>1530</v>
      </c>
      <c r="F22" s="126" t="s">
        <v>1020</v>
      </c>
      <c r="G22" s="126" t="s">
        <v>958</v>
      </c>
      <c r="H22" s="126" t="s">
        <v>904</v>
      </c>
      <c r="I22" s="126" t="s">
        <v>874</v>
      </c>
      <c r="J22" s="126" t="s">
        <v>1834</v>
      </c>
    </row>
    <row r="23" spans="1:10">
      <c r="A23" s="125"/>
      <c r="B23" s="125"/>
      <c r="C23" s="144"/>
      <c r="D23" s="126" t="s">
        <v>1829</v>
      </c>
      <c r="E23" s="126" t="s">
        <v>1835</v>
      </c>
      <c r="F23" s="126" t="s">
        <v>951</v>
      </c>
      <c r="G23" s="126" t="s">
        <v>1836</v>
      </c>
      <c r="H23" s="126" t="s">
        <v>904</v>
      </c>
      <c r="I23" s="126" t="s">
        <v>874</v>
      </c>
      <c r="J23" s="126" t="s">
        <v>1837</v>
      </c>
    </row>
    <row r="24" spans="1:10">
      <c r="A24" s="125"/>
      <c r="B24" s="125" t="s">
        <v>1838</v>
      </c>
      <c r="C24" s="142" t="s">
        <v>1839</v>
      </c>
      <c r="D24" s="126" t="s">
        <v>1840</v>
      </c>
      <c r="E24" s="126" t="s">
        <v>1841</v>
      </c>
      <c r="F24" s="126" t="s">
        <v>1842</v>
      </c>
      <c r="G24" s="126" t="s">
        <v>1843</v>
      </c>
      <c r="H24" s="126" t="s">
        <v>895</v>
      </c>
      <c r="I24" s="126" t="s">
        <v>424</v>
      </c>
      <c r="J24" s="126" t="s">
        <v>1583</v>
      </c>
    </row>
    <row r="25" spans="1:10">
      <c r="A25" s="125"/>
      <c r="B25" s="125"/>
      <c r="C25" s="143"/>
      <c r="D25" s="126" t="s">
        <v>1840</v>
      </c>
      <c r="E25" s="126" t="s">
        <v>1844</v>
      </c>
      <c r="F25" s="126" t="s">
        <v>941</v>
      </c>
      <c r="G25" s="126" t="s">
        <v>1845</v>
      </c>
      <c r="H25" s="126" t="s">
        <v>895</v>
      </c>
      <c r="I25" s="126" t="s">
        <v>424</v>
      </c>
      <c r="J25" s="126" t="s">
        <v>1562</v>
      </c>
    </row>
    <row r="26" spans="1:10">
      <c r="A26" s="125"/>
      <c r="B26" s="125"/>
      <c r="C26" s="143"/>
      <c r="D26" s="126" t="s">
        <v>1840</v>
      </c>
      <c r="E26" s="126" t="s">
        <v>1846</v>
      </c>
      <c r="F26" s="126" t="s">
        <v>1023</v>
      </c>
      <c r="G26" s="126" t="s">
        <v>1847</v>
      </c>
      <c r="H26" s="126" t="s">
        <v>904</v>
      </c>
      <c r="I26" s="126" t="s">
        <v>424</v>
      </c>
      <c r="J26" s="126" t="s">
        <v>1529</v>
      </c>
    </row>
    <row r="27" spans="1:10">
      <c r="A27" s="125"/>
      <c r="B27" s="125"/>
      <c r="C27" s="143"/>
      <c r="D27" s="126" t="s">
        <v>1840</v>
      </c>
      <c r="E27" s="126" t="s">
        <v>1241</v>
      </c>
      <c r="F27" s="126" t="s">
        <v>1124</v>
      </c>
      <c r="G27" s="126" t="s">
        <v>1848</v>
      </c>
      <c r="H27" s="126" t="s">
        <v>904</v>
      </c>
      <c r="I27" s="126" t="s">
        <v>424</v>
      </c>
      <c r="J27" s="126" t="s">
        <v>1849</v>
      </c>
    </row>
    <row r="28" spans="1:10">
      <c r="A28" s="125"/>
      <c r="B28" s="125"/>
      <c r="C28" s="144"/>
      <c r="D28" s="126" t="s">
        <v>1840</v>
      </c>
      <c r="E28" s="126" t="s">
        <v>1126</v>
      </c>
      <c r="F28" s="126" t="s">
        <v>907</v>
      </c>
      <c r="G28" s="126" t="s">
        <v>1850</v>
      </c>
      <c r="H28" s="126" t="s">
        <v>895</v>
      </c>
      <c r="I28" s="126" t="s">
        <v>424</v>
      </c>
      <c r="J28" s="126" t="s">
        <v>1851</v>
      </c>
    </row>
    <row r="29" spans="1:10">
      <c r="A29" s="125"/>
      <c r="B29" s="125"/>
      <c r="C29" s="142" t="s">
        <v>1852</v>
      </c>
      <c r="D29" s="126" t="s">
        <v>1853</v>
      </c>
      <c r="E29" s="126" t="s">
        <v>1854</v>
      </c>
      <c r="F29" s="126" t="s">
        <v>1086</v>
      </c>
      <c r="G29" s="126" t="s">
        <v>1855</v>
      </c>
      <c r="H29" s="126" t="s">
        <v>904</v>
      </c>
      <c r="I29" s="126" t="s">
        <v>874</v>
      </c>
      <c r="J29" s="126" t="s">
        <v>1856</v>
      </c>
    </row>
    <row r="30" spans="1:10">
      <c r="A30" s="125"/>
      <c r="B30" s="125"/>
      <c r="C30" s="143"/>
      <c r="D30" s="126" t="s">
        <v>1853</v>
      </c>
      <c r="E30" s="126" t="s">
        <v>1835</v>
      </c>
      <c r="F30" s="126" t="s">
        <v>951</v>
      </c>
      <c r="G30" s="126" t="s">
        <v>1857</v>
      </c>
      <c r="H30" s="126" t="s">
        <v>904</v>
      </c>
      <c r="I30" s="126" t="s">
        <v>874</v>
      </c>
      <c r="J30" s="126" t="s">
        <v>1463</v>
      </c>
    </row>
    <row r="31" spans="1:10">
      <c r="A31" s="125"/>
      <c r="B31" s="125"/>
      <c r="C31" s="143"/>
      <c r="D31" s="126" t="s">
        <v>1858</v>
      </c>
      <c r="E31" s="126" t="s">
        <v>1859</v>
      </c>
      <c r="F31" s="126" t="s">
        <v>947</v>
      </c>
      <c r="G31" s="126" t="s">
        <v>1860</v>
      </c>
      <c r="H31" s="126" t="s">
        <v>895</v>
      </c>
      <c r="I31" s="126" t="s">
        <v>874</v>
      </c>
      <c r="J31" s="126" t="s">
        <v>1456</v>
      </c>
    </row>
    <row r="32" spans="1:10">
      <c r="A32" s="125"/>
      <c r="B32" s="125"/>
      <c r="C32" s="144"/>
      <c r="D32" s="126" t="s">
        <v>1858</v>
      </c>
      <c r="E32" s="126" t="s">
        <v>1530</v>
      </c>
      <c r="F32" s="126" t="s">
        <v>1020</v>
      </c>
      <c r="G32" s="126" t="s">
        <v>958</v>
      </c>
      <c r="H32" s="126" t="s">
        <v>904</v>
      </c>
      <c r="I32" s="126" t="s">
        <v>874</v>
      </c>
      <c r="J32" s="126" t="s">
        <v>1861</v>
      </c>
    </row>
    <row r="33" spans="1:10">
      <c r="A33" s="125"/>
      <c r="B33" s="125" t="s">
        <v>1085</v>
      </c>
      <c r="C33" s="142" t="s">
        <v>1084</v>
      </c>
      <c r="D33" s="126" t="s">
        <v>1084</v>
      </c>
      <c r="E33" s="126" t="s">
        <v>1538</v>
      </c>
      <c r="F33" s="126" t="s">
        <v>1086</v>
      </c>
      <c r="G33" s="126" t="s">
        <v>1539</v>
      </c>
      <c r="H33" s="126" t="s">
        <v>904</v>
      </c>
      <c r="I33" s="126" t="s">
        <v>874</v>
      </c>
      <c r="J33" s="126" t="s">
        <v>1862</v>
      </c>
    </row>
    <row r="34" spans="1:10">
      <c r="A34" s="125"/>
      <c r="B34" s="125"/>
      <c r="C34" s="144"/>
      <c r="D34" s="126" t="s">
        <v>1084</v>
      </c>
      <c r="E34" s="126" t="s">
        <v>1062</v>
      </c>
      <c r="F34" s="126" t="s">
        <v>947</v>
      </c>
      <c r="G34" s="126" t="s">
        <v>1863</v>
      </c>
      <c r="H34" s="126" t="s">
        <v>895</v>
      </c>
      <c r="I34" s="126" t="s">
        <v>874</v>
      </c>
      <c r="J34" s="126" t="s">
        <v>1864</v>
      </c>
    </row>
    <row r="35" spans="1:10">
      <c r="A35" s="125"/>
      <c r="B35" s="125"/>
      <c r="C35" s="142" t="s">
        <v>1089</v>
      </c>
      <c r="D35" s="126" t="s">
        <v>1089</v>
      </c>
      <c r="E35" s="126" t="s">
        <v>1090</v>
      </c>
      <c r="F35" s="126" t="s">
        <v>951</v>
      </c>
      <c r="G35" s="126" t="s">
        <v>1865</v>
      </c>
      <c r="H35" s="126" t="s">
        <v>895</v>
      </c>
      <c r="I35" s="126" t="s">
        <v>874</v>
      </c>
      <c r="J35" s="126" t="s">
        <v>1456</v>
      </c>
    </row>
    <row r="36" spans="1:10">
      <c r="A36" s="125"/>
      <c r="B36" s="125"/>
      <c r="C36" s="143"/>
      <c r="D36" s="126" t="s">
        <v>1089</v>
      </c>
      <c r="E36" s="126" t="s">
        <v>1866</v>
      </c>
      <c r="F36" s="126" t="s">
        <v>1812</v>
      </c>
      <c r="G36" s="126" t="s">
        <v>1867</v>
      </c>
      <c r="H36" s="126" t="s">
        <v>895</v>
      </c>
      <c r="I36" s="126" t="s">
        <v>874</v>
      </c>
      <c r="J36" s="126" t="s">
        <v>1814</v>
      </c>
    </row>
    <row r="37" spans="1:10">
      <c r="A37" s="125"/>
      <c r="B37" s="125"/>
      <c r="C37" s="143"/>
      <c r="D37" s="126" t="s">
        <v>1089</v>
      </c>
      <c r="E37" s="126" t="s">
        <v>1238</v>
      </c>
      <c r="F37" s="126" t="s">
        <v>951</v>
      </c>
      <c r="G37" s="126" t="s">
        <v>1868</v>
      </c>
      <c r="H37" s="126" t="s">
        <v>904</v>
      </c>
      <c r="I37" s="126" t="s">
        <v>874</v>
      </c>
      <c r="J37" s="126" t="s">
        <v>1456</v>
      </c>
    </row>
    <row r="38" spans="1:10">
      <c r="A38" s="125"/>
      <c r="B38" s="125"/>
      <c r="C38" s="143"/>
      <c r="D38" s="126" t="s">
        <v>1089</v>
      </c>
      <c r="E38" s="126" t="s">
        <v>1530</v>
      </c>
      <c r="F38" s="126" t="s">
        <v>1020</v>
      </c>
      <c r="G38" s="126" t="s">
        <v>958</v>
      </c>
      <c r="H38" s="126" t="s">
        <v>904</v>
      </c>
      <c r="I38" s="126" t="s">
        <v>874</v>
      </c>
      <c r="J38" s="126" t="s">
        <v>1869</v>
      </c>
    </row>
    <row r="39" spans="1:10">
      <c r="A39" s="125"/>
      <c r="B39" s="125"/>
      <c r="C39" s="143"/>
      <c r="D39" s="126" t="s">
        <v>1870</v>
      </c>
      <c r="E39" s="126" t="s">
        <v>1871</v>
      </c>
      <c r="F39" s="126" t="s">
        <v>907</v>
      </c>
      <c r="G39" s="126" t="s">
        <v>1872</v>
      </c>
      <c r="H39" s="126" t="s">
        <v>977</v>
      </c>
      <c r="I39" s="126" t="s">
        <v>424</v>
      </c>
      <c r="J39" s="126" t="s">
        <v>1873</v>
      </c>
    </row>
    <row r="40" spans="1:10">
      <c r="A40" s="125"/>
      <c r="B40" s="125"/>
      <c r="C40" s="144"/>
      <c r="D40" s="126" t="s">
        <v>1870</v>
      </c>
      <c r="E40" s="126" t="s">
        <v>1874</v>
      </c>
      <c r="F40" s="126" t="s">
        <v>907</v>
      </c>
      <c r="G40" s="126" t="s">
        <v>1875</v>
      </c>
      <c r="H40" s="126" t="s">
        <v>904</v>
      </c>
      <c r="I40" s="126" t="s">
        <v>424</v>
      </c>
      <c r="J40" s="126" t="s">
        <v>1876</v>
      </c>
    </row>
    <row r="41" spans="1:10">
      <c r="A41" s="125"/>
      <c r="B41" s="125"/>
      <c r="C41" s="142" t="s">
        <v>1877</v>
      </c>
      <c r="D41" s="126" t="s">
        <v>1877</v>
      </c>
      <c r="E41" s="126" t="s">
        <v>1238</v>
      </c>
      <c r="F41" s="126" t="s">
        <v>1023</v>
      </c>
      <c r="G41" s="126" t="s">
        <v>1878</v>
      </c>
      <c r="H41" s="126" t="s">
        <v>895</v>
      </c>
      <c r="I41" s="126" t="s">
        <v>424</v>
      </c>
      <c r="J41" s="126" t="s">
        <v>1562</v>
      </c>
    </row>
    <row r="42" spans="1:10">
      <c r="A42" s="125"/>
      <c r="B42" s="125"/>
      <c r="C42" s="143"/>
      <c r="D42" s="126" t="s">
        <v>1877</v>
      </c>
      <c r="E42" s="126" t="s">
        <v>1530</v>
      </c>
      <c r="F42" s="126" t="s">
        <v>1124</v>
      </c>
      <c r="G42" s="126" t="s">
        <v>1879</v>
      </c>
      <c r="H42" s="126" t="s">
        <v>904</v>
      </c>
      <c r="I42" s="126" t="s">
        <v>424</v>
      </c>
      <c r="J42" s="126" t="s">
        <v>1529</v>
      </c>
    </row>
    <row r="43" spans="1:10">
      <c r="A43" s="125"/>
      <c r="B43" s="125"/>
      <c r="C43" s="144"/>
      <c r="D43" s="126" t="s">
        <v>1877</v>
      </c>
      <c r="E43" s="126" t="s">
        <v>1126</v>
      </c>
      <c r="F43" s="126" t="s">
        <v>907</v>
      </c>
      <c r="G43" s="126" t="s">
        <v>1880</v>
      </c>
      <c r="H43" s="126" t="s">
        <v>895</v>
      </c>
      <c r="I43" s="126" t="s">
        <v>424</v>
      </c>
      <c r="J43" s="126" t="s">
        <v>1881</v>
      </c>
    </row>
    <row r="44" spans="1:10">
      <c r="A44" s="125"/>
      <c r="B44" s="125" t="s">
        <v>1882</v>
      </c>
      <c r="C44" s="145" t="s">
        <v>1883</v>
      </c>
      <c r="D44" s="126" t="s">
        <v>1884</v>
      </c>
      <c r="E44" s="126" t="s">
        <v>1885</v>
      </c>
      <c r="F44" s="126" t="s">
        <v>1086</v>
      </c>
      <c r="G44" s="126" t="s">
        <v>1886</v>
      </c>
      <c r="H44" s="126" t="s">
        <v>904</v>
      </c>
      <c r="I44" s="126" t="s">
        <v>874</v>
      </c>
      <c r="J44" s="126" t="s">
        <v>1887</v>
      </c>
    </row>
    <row r="45" spans="1:10">
      <c r="A45" s="125"/>
      <c r="B45" s="125"/>
      <c r="C45" s="142" t="s">
        <v>1888</v>
      </c>
      <c r="D45" s="126" t="s">
        <v>1888</v>
      </c>
      <c r="E45" s="126" t="s">
        <v>1889</v>
      </c>
      <c r="F45" s="126" t="s">
        <v>1812</v>
      </c>
      <c r="G45" s="126" t="s">
        <v>1890</v>
      </c>
      <c r="H45" s="126" t="s">
        <v>895</v>
      </c>
      <c r="I45" s="126" t="s">
        <v>874</v>
      </c>
      <c r="J45" s="126" t="s">
        <v>1891</v>
      </c>
    </row>
    <row r="46" spans="1:10">
      <c r="A46" s="125"/>
      <c r="B46" s="125"/>
      <c r="C46" s="143"/>
      <c r="D46" s="126" t="s">
        <v>1888</v>
      </c>
      <c r="E46" s="126" t="s">
        <v>1892</v>
      </c>
      <c r="F46" s="126" t="s">
        <v>947</v>
      </c>
      <c r="G46" s="126" t="s">
        <v>1893</v>
      </c>
      <c r="H46" s="126" t="s">
        <v>895</v>
      </c>
      <c r="I46" s="126" t="s">
        <v>874</v>
      </c>
      <c r="J46" s="126" t="s">
        <v>1894</v>
      </c>
    </row>
    <row r="47" spans="1:10">
      <c r="A47" s="125"/>
      <c r="B47" s="125"/>
      <c r="C47" s="144"/>
      <c r="D47" s="126" t="s">
        <v>1888</v>
      </c>
      <c r="E47" s="126" t="s">
        <v>1895</v>
      </c>
      <c r="F47" s="126" t="s">
        <v>1086</v>
      </c>
      <c r="G47" s="126" t="s">
        <v>1896</v>
      </c>
      <c r="H47" s="126" t="s">
        <v>904</v>
      </c>
      <c r="I47" s="126" t="s">
        <v>874</v>
      </c>
      <c r="J47" s="126" t="s">
        <v>1897</v>
      </c>
    </row>
    <row r="48" spans="1:10">
      <c r="A48" s="125"/>
      <c r="B48" s="125" t="s">
        <v>624</v>
      </c>
      <c r="C48" s="142" t="s">
        <v>1898</v>
      </c>
      <c r="D48" s="126" t="s">
        <v>1138</v>
      </c>
      <c r="E48" s="126" t="s">
        <v>1590</v>
      </c>
      <c r="F48" s="126" t="s">
        <v>1086</v>
      </c>
      <c r="G48" s="126" t="s">
        <v>1899</v>
      </c>
      <c r="H48" s="126" t="s">
        <v>904</v>
      </c>
      <c r="I48" s="126" t="s">
        <v>874</v>
      </c>
      <c r="J48" s="126" t="s">
        <v>1900</v>
      </c>
    </row>
    <row r="49" spans="1:10">
      <c r="A49" s="125"/>
      <c r="B49" s="125"/>
      <c r="C49" s="144"/>
      <c r="D49" s="126" t="s">
        <v>1138</v>
      </c>
      <c r="E49" s="126" t="s">
        <v>1835</v>
      </c>
      <c r="F49" s="126" t="s">
        <v>951</v>
      </c>
      <c r="G49" s="126" t="s">
        <v>1901</v>
      </c>
      <c r="H49" s="126" t="s">
        <v>904</v>
      </c>
      <c r="I49" s="126" t="s">
        <v>874</v>
      </c>
      <c r="J49" s="126" t="s">
        <v>1463</v>
      </c>
    </row>
    <row r="50" spans="1:10">
      <c r="A50" s="125"/>
      <c r="B50" s="125" t="s">
        <v>634</v>
      </c>
      <c r="C50" s="142" t="s">
        <v>1140</v>
      </c>
      <c r="D50" s="126" t="s">
        <v>634</v>
      </c>
      <c r="E50" s="126" t="s">
        <v>1145</v>
      </c>
      <c r="F50" s="126" t="s">
        <v>911</v>
      </c>
      <c r="G50" s="126" t="s">
        <v>1902</v>
      </c>
      <c r="H50" s="126" t="s">
        <v>895</v>
      </c>
      <c r="I50" s="126" t="s">
        <v>424</v>
      </c>
      <c r="J50" s="126" t="s">
        <v>1903</v>
      </c>
    </row>
    <row r="51" spans="1:10">
      <c r="A51" s="125"/>
      <c r="B51" s="125"/>
      <c r="C51" s="143"/>
      <c r="D51" s="126" t="s">
        <v>634</v>
      </c>
      <c r="E51" s="126" t="s">
        <v>892</v>
      </c>
      <c r="F51" s="126" t="s">
        <v>1456</v>
      </c>
      <c r="G51" s="126" t="s">
        <v>1904</v>
      </c>
      <c r="H51" s="126" t="s">
        <v>895</v>
      </c>
      <c r="I51" s="126" t="s">
        <v>874</v>
      </c>
      <c r="J51" s="126" t="s">
        <v>1905</v>
      </c>
    </row>
    <row r="52" spans="1:10">
      <c r="A52" s="125"/>
      <c r="B52" s="125"/>
      <c r="C52" s="143"/>
      <c r="D52" s="126" t="s">
        <v>634</v>
      </c>
      <c r="E52" s="126" t="s">
        <v>1153</v>
      </c>
      <c r="F52" s="126" t="s">
        <v>951</v>
      </c>
      <c r="G52" s="127" t="s">
        <v>1906</v>
      </c>
      <c r="H52" s="126" t="s">
        <v>904</v>
      </c>
      <c r="I52" s="126" t="s">
        <v>424</v>
      </c>
      <c r="J52" s="126" t="s">
        <v>1907</v>
      </c>
    </row>
    <row r="53" spans="1:10">
      <c r="A53" s="125"/>
      <c r="B53" s="125"/>
      <c r="C53" s="143"/>
      <c r="D53" s="126" t="s">
        <v>634</v>
      </c>
      <c r="E53" s="126" t="s">
        <v>1908</v>
      </c>
      <c r="F53" s="126" t="s">
        <v>1086</v>
      </c>
      <c r="G53" s="126" t="s">
        <v>1909</v>
      </c>
      <c r="H53" s="126" t="s">
        <v>895</v>
      </c>
      <c r="I53" s="126" t="s">
        <v>874</v>
      </c>
      <c r="J53" s="126" t="s">
        <v>1546</v>
      </c>
    </row>
    <row r="54" spans="1:10">
      <c r="A54" s="125"/>
      <c r="B54" s="125"/>
      <c r="C54" s="144"/>
      <c r="D54" s="126" t="s">
        <v>634</v>
      </c>
      <c r="E54" s="126" t="s">
        <v>1188</v>
      </c>
      <c r="F54" s="126" t="s">
        <v>941</v>
      </c>
      <c r="G54" s="126" t="s">
        <v>1910</v>
      </c>
      <c r="H54" s="126" t="s">
        <v>904</v>
      </c>
      <c r="I54" s="126" t="s">
        <v>424</v>
      </c>
      <c r="J54" s="126" t="s">
        <v>1911</v>
      </c>
    </row>
    <row r="55" spans="1:10">
      <c r="A55" s="125"/>
      <c r="B55" s="125"/>
      <c r="C55" s="142" t="s">
        <v>1180</v>
      </c>
      <c r="D55" s="126" t="s">
        <v>1180</v>
      </c>
      <c r="E55" s="126" t="s">
        <v>1191</v>
      </c>
      <c r="F55" s="126" t="s">
        <v>1618</v>
      </c>
      <c r="G55" s="126" t="s">
        <v>1912</v>
      </c>
      <c r="H55" s="126" t="s">
        <v>904</v>
      </c>
      <c r="I55" s="126" t="s">
        <v>424</v>
      </c>
      <c r="J55" s="126" t="s">
        <v>1529</v>
      </c>
    </row>
    <row r="56" spans="1:10">
      <c r="A56" s="125"/>
      <c r="B56" s="125"/>
      <c r="C56" s="144"/>
      <c r="D56" s="126" t="s">
        <v>1180</v>
      </c>
      <c r="E56" s="126" t="s">
        <v>1201</v>
      </c>
      <c r="F56" s="126" t="s">
        <v>902</v>
      </c>
      <c r="G56" s="126" t="s">
        <v>1622</v>
      </c>
      <c r="H56" s="126" t="s">
        <v>904</v>
      </c>
      <c r="I56" s="126" t="s">
        <v>874</v>
      </c>
      <c r="J56" s="126" t="s">
        <v>1913</v>
      </c>
    </row>
    <row r="57" spans="1:10">
      <c r="A57" s="125"/>
      <c r="B57" s="125"/>
      <c r="C57" s="145" t="s">
        <v>1208</v>
      </c>
      <c r="D57" s="126" t="s">
        <v>1208</v>
      </c>
      <c r="E57" s="126" t="s">
        <v>1413</v>
      </c>
      <c r="F57" s="126" t="s">
        <v>907</v>
      </c>
      <c r="G57" s="126" t="s">
        <v>1626</v>
      </c>
      <c r="H57" s="126" t="s">
        <v>895</v>
      </c>
      <c r="I57" s="126" t="s">
        <v>424</v>
      </c>
      <c r="J57" s="126" t="s">
        <v>1914</v>
      </c>
    </row>
    <row r="58" spans="1:10">
      <c r="A58" s="125"/>
      <c r="B58" s="125" t="s">
        <v>643</v>
      </c>
      <c r="C58" s="141" t="s">
        <v>1223</v>
      </c>
      <c r="D58" s="126" t="s">
        <v>1915</v>
      </c>
      <c r="E58" s="126" t="s">
        <v>1916</v>
      </c>
      <c r="F58" s="126" t="s">
        <v>1086</v>
      </c>
      <c r="G58" s="126" t="s">
        <v>1917</v>
      </c>
      <c r="H58" s="126" t="s">
        <v>904</v>
      </c>
      <c r="I58" s="126" t="s">
        <v>874</v>
      </c>
      <c r="J58" s="126" t="s">
        <v>1918</v>
      </c>
    </row>
    <row r="59" spans="1:10">
      <c r="A59" s="125"/>
      <c r="B59" s="125"/>
      <c r="C59" s="142" t="s">
        <v>1919</v>
      </c>
      <c r="D59" s="126" t="s">
        <v>1642</v>
      </c>
      <c r="E59" s="126" t="s">
        <v>1232</v>
      </c>
      <c r="F59" s="126" t="s">
        <v>911</v>
      </c>
      <c r="G59" s="126" t="s">
        <v>1643</v>
      </c>
      <c r="H59" s="126" t="s">
        <v>895</v>
      </c>
      <c r="I59" s="126" t="s">
        <v>424</v>
      </c>
      <c r="J59" s="126" t="s">
        <v>1562</v>
      </c>
    </row>
    <row r="60" spans="1:10">
      <c r="A60" s="125"/>
      <c r="B60" s="125"/>
      <c r="C60" s="143"/>
      <c r="D60" s="126" t="s">
        <v>1642</v>
      </c>
      <c r="E60" s="126" t="s">
        <v>1238</v>
      </c>
      <c r="F60" s="126" t="s">
        <v>1023</v>
      </c>
      <c r="G60" s="126" t="s">
        <v>1920</v>
      </c>
      <c r="H60" s="126" t="s">
        <v>895</v>
      </c>
      <c r="I60" s="126" t="s">
        <v>424</v>
      </c>
      <c r="J60" s="126" t="s">
        <v>1562</v>
      </c>
    </row>
    <row r="61" spans="1:10">
      <c r="A61" s="125"/>
      <c r="B61" s="125"/>
      <c r="C61" s="143"/>
      <c r="D61" s="126" t="s">
        <v>1642</v>
      </c>
      <c r="E61" s="126" t="s">
        <v>1241</v>
      </c>
      <c r="F61" s="126" t="s">
        <v>1124</v>
      </c>
      <c r="G61" s="126" t="s">
        <v>1921</v>
      </c>
      <c r="H61" s="126" t="s">
        <v>904</v>
      </c>
      <c r="I61" s="126" t="s">
        <v>424</v>
      </c>
      <c r="J61" s="126" t="s">
        <v>1529</v>
      </c>
    </row>
    <row r="62" spans="1:10">
      <c r="A62" s="125"/>
      <c r="B62" s="125"/>
      <c r="C62" s="144"/>
      <c r="D62" s="126" t="s">
        <v>1642</v>
      </c>
      <c r="E62" s="126" t="s">
        <v>1126</v>
      </c>
      <c r="F62" s="126" t="s">
        <v>907</v>
      </c>
      <c r="G62" s="126" t="s">
        <v>1922</v>
      </c>
      <c r="H62" s="126" t="s">
        <v>895</v>
      </c>
      <c r="I62" s="126" t="s">
        <v>424</v>
      </c>
      <c r="J62" s="126" t="s">
        <v>1923</v>
      </c>
    </row>
    <row r="63" spans="1:10">
      <c r="A63" s="125"/>
      <c r="B63" s="125"/>
      <c r="C63" s="140" t="s">
        <v>1924</v>
      </c>
      <c r="D63" s="126" t="s">
        <v>1084</v>
      </c>
      <c r="E63" s="126" t="s">
        <v>1538</v>
      </c>
      <c r="F63" s="126" t="s">
        <v>1086</v>
      </c>
      <c r="G63" s="126" t="s">
        <v>1925</v>
      </c>
      <c r="H63" s="126" t="s">
        <v>904</v>
      </c>
      <c r="I63" s="126" t="s">
        <v>874</v>
      </c>
      <c r="J63" s="126" t="s">
        <v>1926</v>
      </c>
    </row>
    <row r="64" spans="1:10">
      <c r="A64" s="125"/>
      <c r="B64" s="125"/>
      <c r="C64" s="140" t="s">
        <v>1927</v>
      </c>
      <c r="D64" s="126" t="s">
        <v>1927</v>
      </c>
      <c r="E64" s="126" t="s">
        <v>1664</v>
      </c>
      <c r="F64" s="126" t="s">
        <v>1268</v>
      </c>
      <c r="G64" s="126" t="s">
        <v>958</v>
      </c>
      <c r="H64" s="126" t="s">
        <v>904</v>
      </c>
      <c r="I64" s="126" t="s">
        <v>874</v>
      </c>
      <c r="J64" s="126" t="s">
        <v>1928</v>
      </c>
    </row>
  </sheetData>
  <mergeCells count="23">
    <mergeCell ref="C59:C62"/>
    <mergeCell ref="C35:C40"/>
    <mergeCell ref="C41:C43"/>
    <mergeCell ref="C45:C47"/>
    <mergeCell ref="C48:C49"/>
    <mergeCell ref="C50:C54"/>
    <mergeCell ref="C55:C56"/>
    <mergeCell ref="B50:B57"/>
    <mergeCell ref="B58:B64"/>
    <mergeCell ref="A2:A64"/>
    <mergeCell ref="C2:C5"/>
    <mergeCell ref="C6:C11"/>
    <mergeCell ref="C12:C17"/>
    <mergeCell ref="C18:C23"/>
    <mergeCell ref="C24:C28"/>
    <mergeCell ref="C29:C32"/>
    <mergeCell ref="C33:C34"/>
    <mergeCell ref="B2:B11"/>
    <mergeCell ref="B12:B23"/>
    <mergeCell ref="B24:B32"/>
    <mergeCell ref="B33:B43"/>
    <mergeCell ref="B44:B47"/>
    <mergeCell ref="B48:B49"/>
  </mergeCells>
  <hyperlinks>
    <hyperlink ref="G52" r:id="rId1" xr:uid="{2F83F624-06D9-4C17-8050-448B1A085EDC}"/>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5C60C-48B4-4AB0-841D-767272917D53}">
  <dimension ref="A1"/>
  <sheetViews>
    <sheetView workbookViewId="0">
      <selection activeCell="O15" sqref="O15"/>
    </sheetView>
  </sheetViews>
  <sheetFormatPr defaultRowHeight="1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38E47-86C1-4047-BAA3-70BFB3AC18A0}">
  <dimension ref="A1"/>
  <sheetViews>
    <sheetView workbookViewId="0">
      <selection activeCell="O15" sqref="O15"/>
    </sheetView>
  </sheetViews>
  <sheetFormatPr defaultRowHeight="1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E6064-4859-4650-B27D-8EF017E9EA40}">
  <dimension ref="A1"/>
  <sheetViews>
    <sheetView workbookViewId="0">
      <selection activeCell="P13" sqref="P13"/>
    </sheetView>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99C75BA535F6243AD42B65BF32D7582" ma:contentTypeVersion="19" ma:contentTypeDescription="Create a new document." ma:contentTypeScope="" ma:versionID="408de97f391fc7f85b056f78fb21ee32">
  <xsd:schema xmlns:xsd="http://www.w3.org/2001/XMLSchema" xmlns:xs="http://www.w3.org/2001/XMLSchema" xmlns:p="http://schemas.microsoft.com/office/2006/metadata/properties" xmlns:ns2="43099662-8119-4385-827a-7f92e50916dc" xmlns:ns3="6036f3f9-d3a2-4495-a984-a03dd969a170" targetNamespace="http://schemas.microsoft.com/office/2006/metadata/properties" ma:root="true" ma:fieldsID="c83e253d6dba7bbb5f2ef8a3d23e0ffa" ns2:_="" ns3:_="">
    <xsd:import namespace="43099662-8119-4385-827a-7f92e50916dc"/>
    <xsd:import namespace="6036f3f9-d3a2-4495-a984-a03dd969a17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SearchProperties" minOccurs="0"/>
                <xsd:element ref="ns3:MediaLengthInSeconds" minOccurs="0"/>
                <xsd:element ref="ns3:MediaServiceLocation" minOccurs="0"/>
                <xsd:element ref="ns3:TemporaryView"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099662-8119-4385-827a-7f92e50916d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5bfec6b7-4a9b-4e92-b738-22833e9c5923}" ma:internalName="TaxCatchAll" ma:showField="CatchAllData" ma:web="43099662-8119-4385-827a-7f92e50916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036f3f9-d3a2-4495-a984-a03dd969a17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f9b29d8-3e15-438f-b12c-4f87279dc743"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description="" ma:indexed="true" ma:internalName="MediaServiceLocation" ma:readOnly="true">
      <xsd:simpleType>
        <xsd:restriction base="dms:Text"/>
      </xsd:simpleType>
    </xsd:element>
    <xsd:element name="TemporaryView" ma:index="23" nillable="true" ma:displayName="Temporary View" ma:format="Dropdown" ma:internalName="TemporaryView">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3099662-8119-4385-827a-7f92e50916dc" xsi:nil="true"/>
    <lcf76f155ced4ddcb4097134ff3c332f xmlns="6036f3f9-d3a2-4495-a984-a03dd969a170">
      <Terms xmlns="http://schemas.microsoft.com/office/infopath/2007/PartnerControls"/>
    </lcf76f155ced4ddcb4097134ff3c332f>
    <TemporaryView xmlns="6036f3f9-d3a2-4495-a984-a03dd969a170" xsi:nil="true"/>
  </documentManagement>
</p:properties>
</file>

<file path=customXml/itemProps1.xml><?xml version="1.0" encoding="utf-8"?>
<ds:datastoreItem xmlns:ds="http://schemas.openxmlformats.org/officeDocument/2006/customXml" ds:itemID="{9FAABC7F-B60E-4171-85DC-D8DF06C19298}"/>
</file>

<file path=customXml/itemProps2.xml><?xml version="1.0" encoding="utf-8"?>
<ds:datastoreItem xmlns:ds="http://schemas.openxmlformats.org/officeDocument/2006/customXml" ds:itemID="{A2386717-0144-4089-9837-1595E8EF9704}"/>
</file>

<file path=customXml/itemProps3.xml><?xml version="1.0" encoding="utf-8"?>
<ds:datastoreItem xmlns:ds="http://schemas.openxmlformats.org/officeDocument/2006/customXml" ds:itemID="{E120CAE5-C0FD-47BD-93BA-B903FAD1891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 Avvaru</dc:creator>
  <cp:keywords/>
  <dc:description/>
  <cp:lastModifiedBy>Karthikeyan Muthusamy</cp:lastModifiedBy>
  <cp:revision/>
  <dcterms:created xsi:type="dcterms:W3CDTF">2024-05-09T15:29:59Z</dcterms:created>
  <dcterms:modified xsi:type="dcterms:W3CDTF">2025-11-26T12:27:03Z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0x010100299C75BA535F6243AD42B65BF32D7582</vt:lpwstr>
  </property>
  <property fmtid="{D5CDD505-2E9C-101B-9397-08002B2CF9AE}" pid="3" name="MediaServiceImageTags">
    <vt:lpwstr/>
  </property>
</Properties>
</file>